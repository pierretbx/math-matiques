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errethiebeaux/Dropbox/LMNP/"/>
    </mc:Choice>
  </mc:AlternateContent>
  <xr:revisionPtr revIDLastSave="0" documentId="13_ncr:1_{5555C999-D1FE-C343-AECE-FBE5FD08D15F}" xr6:coauthVersionLast="47" xr6:coauthVersionMax="47" xr10:uidLastSave="{00000000-0000-0000-0000-000000000000}"/>
  <bookViews>
    <workbookView xWindow="0" yWindow="0" windowWidth="40960" windowHeight="23040" xr2:uid="{430226E2-10CD-D640-ACED-CE26EA798531}"/>
  </bookViews>
  <sheets>
    <sheet name="Journal" sheetId="1" r:id="rId1"/>
    <sheet name="Amortissement" sheetId="2" r:id="rId2"/>
    <sheet name="Liasse fiscale N" sheetId="3" r:id="rId3"/>
    <sheet name="Liasse fiscale N+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4" l="1"/>
  <c r="J7" i="4"/>
  <c r="J6" i="4"/>
  <c r="D8" i="2"/>
  <c r="D9" i="2"/>
  <c r="D10" i="2"/>
  <c r="D7" i="2"/>
  <c r="D6" i="2"/>
  <c r="J8" i="3"/>
  <c r="J7" i="3"/>
  <c r="J6" i="3"/>
  <c r="B3" i="2"/>
  <c r="J2" i="4" s="1"/>
  <c r="D2" i="4" s="1"/>
  <c r="C15" i="1"/>
  <c r="J5" i="3" s="1"/>
  <c r="J5" i="4" l="1"/>
  <c r="D12" i="2"/>
  <c r="J10" i="4"/>
  <c r="D6" i="4" s="1"/>
  <c r="F9" i="2"/>
  <c r="D19" i="2" s="1"/>
  <c r="F10" i="2"/>
  <c r="E21" i="2" s="1"/>
  <c r="J10" i="3"/>
  <c r="D6" i="3" s="1"/>
  <c r="D31" i="2"/>
  <c r="D20" i="2"/>
  <c r="D36" i="2"/>
  <c r="D40" i="2"/>
  <c r="D16" i="2"/>
  <c r="D18" i="2"/>
  <c r="D29" i="2"/>
  <c r="D22" i="2"/>
  <c r="E28" i="2"/>
  <c r="J2" i="3"/>
  <c r="D2" i="3" s="1"/>
  <c r="E27" i="2" l="1"/>
  <c r="D38" i="2"/>
  <c r="D21" i="2"/>
  <c r="D33" i="2"/>
  <c r="D28" i="2"/>
  <c r="D27" i="2"/>
  <c r="D30" i="2"/>
  <c r="D34" i="2"/>
  <c r="D17" i="2"/>
  <c r="D24" i="2"/>
  <c r="E26" i="2"/>
  <c r="E22" i="2"/>
  <c r="E29" i="2"/>
  <c r="E25" i="2"/>
  <c r="E23" i="2"/>
  <c r="E18" i="2"/>
  <c r="E24" i="2"/>
  <c r="E20" i="2"/>
  <c r="E19" i="2"/>
  <c r="E17" i="2"/>
  <c r="E16" i="2"/>
  <c r="E30" i="2"/>
  <c r="G9" i="2"/>
  <c r="D37" i="2"/>
  <c r="D26" i="2"/>
  <c r="D25" i="2"/>
  <c r="D32" i="2"/>
  <c r="D39" i="2"/>
  <c r="D23" i="2"/>
  <c r="G10" i="2"/>
  <c r="D35" i="2"/>
  <c r="F7" i="2"/>
  <c r="F8" i="2"/>
  <c r="G8" i="2" s="1"/>
  <c r="E66" i="2" l="1"/>
  <c r="D66" i="2"/>
  <c r="B55" i="2"/>
  <c r="B59" i="2"/>
  <c r="G59" i="2" s="1"/>
  <c r="B63" i="2"/>
  <c r="G63" i="2" s="1"/>
  <c r="B21" i="2"/>
  <c r="B25" i="2"/>
  <c r="B29" i="2"/>
  <c r="B33" i="2"/>
  <c r="B37" i="2"/>
  <c r="B41" i="2"/>
  <c r="B45" i="2"/>
  <c r="B49" i="2"/>
  <c r="B53" i="2"/>
  <c r="B56" i="2"/>
  <c r="G56" i="2" s="1"/>
  <c r="B60" i="2"/>
  <c r="G60" i="2" s="1"/>
  <c r="B64" i="2"/>
  <c r="G64" i="2" s="1"/>
  <c r="B22" i="2"/>
  <c r="B26" i="2"/>
  <c r="B30" i="2"/>
  <c r="B34" i="2"/>
  <c r="B38" i="2"/>
  <c r="B42" i="2"/>
  <c r="B46" i="2"/>
  <c r="B50" i="2"/>
  <c r="B19" i="2"/>
  <c r="B17" i="2"/>
  <c r="B61" i="2"/>
  <c r="G61" i="2" s="1"/>
  <c r="B23" i="2"/>
  <c r="B31" i="2"/>
  <c r="B39" i="2"/>
  <c r="B47" i="2"/>
  <c r="B16" i="2"/>
  <c r="B54" i="2"/>
  <c r="B62" i="2"/>
  <c r="G62" i="2" s="1"/>
  <c r="B24" i="2"/>
  <c r="B32" i="2"/>
  <c r="B40" i="2"/>
  <c r="B48" i="2"/>
  <c r="B18" i="2"/>
  <c r="F12" i="2"/>
  <c r="J3" i="4" s="1"/>
  <c r="B57" i="2"/>
  <c r="G57" i="2" s="1"/>
  <c r="B65" i="2"/>
  <c r="G65" i="2" s="1"/>
  <c r="B27" i="2"/>
  <c r="B35" i="2"/>
  <c r="B43" i="2"/>
  <c r="B51" i="2"/>
  <c r="B58" i="2"/>
  <c r="G58" i="2" s="1"/>
  <c r="B20" i="2"/>
  <c r="B28" i="2"/>
  <c r="B36" i="2"/>
  <c r="B44" i="2"/>
  <c r="B52" i="2"/>
  <c r="G7" i="2"/>
  <c r="G12" i="2" s="1"/>
  <c r="C18" i="2"/>
  <c r="C22" i="2"/>
  <c r="C26" i="2"/>
  <c r="C30" i="2"/>
  <c r="C34" i="2"/>
  <c r="C38" i="2"/>
  <c r="C42" i="2"/>
  <c r="C46" i="2"/>
  <c r="C50" i="2"/>
  <c r="C54" i="2"/>
  <c r="C19" i="2"/>
  <c r="C23" i="2"/>
  <c r="C27" i="2"/>
  <c r="C31" i="2"/>
  <c r="C35" i="2"/>
  <c r="C39" i="2"/>
  <c r="C43" i="2"/>
  <c r="C47" i="2"/>
  <c r="G47" i="2" s="1"/>
  <c r="C51" i="2"/>
  <c r="C55" i="2"/>
  <c r="C24" i="2"/>
  <c r="C32" i="2"/>
  <c r="C40" i="2"/>
  <c r="C48" i="2"/>
  <c r="C16" i="2"/>
  <c r="C17" i="2"/>
  <c r="C25" i="2"/>
  <c r="C33" i="2"/>
  <c r="C41" i="2"/>
  <c r="C49" i="2"/>
  <c r="C20" i="2"/>
  <c r="C28" i="2"/>
  <c r="C36" i="2"/>
  <c r="C44" i="2"/>
  <c r="C52" i="2"/>
  <c r="G52" i="2" s="1"/>
  <c r="C21" i="2"/>
  <c r="C29" i="2"/>
  <c r="C37" i="2"/>
  <c r="C45" i="2"/>
  <c r="C53" i="2"/>
  <c r="G27" i="2" l="1"/>
  <c r="G18" i="2"/>
  <c r="G24" i="2"/>
  <c r="G29" i="2"/>
  <c r="G32" i="2"/>
  <c r="G50" i="2"/>
  <c r="G34" i="2"/>
  <c r="G49" i="2"/>
  <c r="G48" i="2"/>
  <c r="G46" i="2"/>
  <c r="G43" i="2"/>
  <c r="G40" i="2"/>
  <c r="G31" i="2"/>
  <c r="G19" i="2"/>
  <c r="G38" i="2"/>
  <c r="G22" i="2"/>
  <c r="G37" i="2"/>
  <c r="G28" i="2"/>
  <c r="G53" i="2"/>
  <c r="G21" i="2"/>
  <c r="C66" i="2"/>
  <c r="G20" i="2"/>
  <c r="G35" i="2"/>
  <c r="J3" i="3"/>
  <c r="C27" i="1"/>
  <c r="C28" i="1" s="1"/>
  <c r="G16" i="2"/>
  <c r="G23" i="2"/>
  <c r="G33" i="2"/>
  <c r="G54" i="2"/>
  <c r="G44" i="2"/>
  <c r="G30" i="2"/>
  <c r="G45" i="2"/>
  <c r="G36" i="2"/>
  <c r="G51" i="2"/>
  <c r="G39" i="2"/>
  <c r="G17" i="2"/>
  <c r="G42" i="2"/>
  <c r="G26" i="2"/>
  <c r="G41" i="2"/>
  <c r="G25" i="2"/>
  <c r="G55" i="2"/>
  <c r="J16" i="3" l="1"/>
  <c r="J9" i="4" s="1"/>
  <c r="J11" i="3"/>
  <c r="J15" i="3" s="1"/>
  <c r="F2" i="4"/>
  <c r="F2" i="3"/>
  <c r="D13" i="3" l="1"/>
  <c r="G2" i="4"/>
  <c r="D10" i="4"/>
  <c r="J16" i="4"/>
  <c r="J11" i="4"/>
  <c r="D10" i="3"/>
  <c r="G2" i="3"/>
  <c r="D11" i="3" l="1"/>
  <c r="D20" i="3" s="1"/>
  <c r="D13" i="4"/>
  <c r="D11" i="4" s="1"/>
  <c r="D20" i="4" s="1"/>
  <c r="J15" i="4"/>
  <c r="B66" i="2"/>
</calcChain>
</file>

<file path=xl/sharedStrings.xml><?xml version="1.0" encoding="utf-8"?>
<sst xmlns="http://schemas.openxmlformats.org/spreadsheetml/2006/main" count="155" uniqueCount="91">
  <si>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</si>
  <si>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</si>
  <si>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</si>
  <si>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</si>
  <si>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</si>
  <si>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</si>
  <si>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</si>
  <si>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</si>
  <si>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</si>
  <si>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</si>
  <si>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</si>
  <si>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</si>
  <si>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Date du versement</t>
  </si>
  <si>
    <t>Montant en euro</t>
  </si>
  <si>
    <t>Total</t>
  </si>
  <si>
    <t>Case impôt</t>
  </si>
  <si>
    <t xml:space="preserve">Année </t>
  </si>
  <si>
    <t>Appartement</t>
  </si>
  <si>
    <t>2033B-218</t>
  </si>
  <si>
    <t>Commentaire</t>
  </si>
  <si>
    <t>Type de frais</t>
  </si>
  <si>
    <t>Charge de copropriétés (récupérable et non récupérable)</t>
  </si>
  <si>
    <t>Taxe foncière</t>
  </si>
  <si>
    <t>Assurance</t>
  </si>
  <si>
    <t>Intérêts de crédit immobilier</t>
  </si>
  <si>
    <t>Assurance du crédit immobilier</t>
  </si>
  <si>
    <t>Ammortissement</t>
  </si>
  <si>
    <t>2033B-242</t>
  </si>
  <si>
    <t>2033B-244</t>
  </si>
  <si>
    <t>2033B-294</t>
  </si>
  <si>
    <t>2033C-572</t>
  </si>
  <si>
    <t>2033C-572 et 2033B-254</t>
  </si>
  <si>
    <t>Sous-total</t>
  </si>
  <si>
    <t xml:space="preserve"> </t>
  </si>
  <si>
    <t>Estimation du prix de l'appartement</t>
  </si>
  <si>
    <t xml:space="preserve">Base amortissable </t>
  </si>
  <si>
    <t xml:space="preserve">Date de début d'activité </t>
  </si>
  <si>
    <t>Structure</t>
  </si>
  <si>
    <t>Façade</t>
  </si>
  <si>
    <t>Equipement</t>
  </si>
  <si>
    <t>Mobilier</t>
  </si>
  <si>
    <t>Structure (Gros œuvre)</t>
  </si>
  <si>
    <t>Agencement (Cloisons, platreries, élec, etc.)</t>
  </si>
  <si>
    <t xml:space="preserve">Durée de l'ammortissement en année </t>
  </si>
  <si>
    <t>Immobilisation</t>
  </si>
  <si>
    <t>2033C-432 (Construction) Faire la somme Structure + Facade</t>
  </si>
  <si>
    <t>2033C-442 (Installation technique, matériel et outillage) IGT</t>
  </si>
  <si>
    <t>2033C-452 (Installation générale, agencement divers)</t>
  </si>
  <si>
    <t>2033C-472</t>
  </si>
  <si>
    <t>Restant à amortir</t>
  </si>
  <si>
    <t>2033C-522</t>
  </si>
  <si>
    <t>2033C-532</t>
  </si>
  <si>
    <t>2033C-542</t>
  </si>
  <si>
    <t>2033C-562</t>
  </si>
  <si>
    <t>Tableau d'amortissement</t>
  </si>
  <si>
    <t>Année</t>
  </si>
  <si>
    <t>Facade</t>
  </si>
  <si>
    <t>Agencement</t>
  </si>
  <si>
    <t xml:space="preserve">Immobilisation brut - amortissement de l'année N </t>
  </si>
  <si>
    <t>Disponibilité</t>
  </si>
  <si>
    <t>ACTIF</t>
  </si>
  <si>
    <t>PASSIF</t>
  </si>
  <si>
    <t>Immobilisation corporelle</t>
  </si>
  <si>
    <t>2033A-028</t>
  </si>
  <si>
    <t>Disponibilité (La caisse/trésorerie)</t>
  </si>
  <si>
    <t>2033A-084</t>
  </si>
  <si>
    <t>Brut</t>
  </si>
  <si>
    <t>2033A-030</t>
  </si>
  <si>
    <t>Net Exercice N</t>
  </si>
  <si>
    <t>Capital social</t>
  </si>
  <si>
    <t>Résultat de l'exercice</t>
  </si>
  <si>
    <t>Dette (dette restant dû)</t>
  </si>
  <si>
    <t>2033A-156</t>
  </si>
  <si>
    <t xml:space="preserve">CFE (Cotisation foncière des entreprises) </t>
  </si>
  <si>
    <t>Prix du terrain (15%) (non amortissable)</t>
  </si>
  <si>
    <t>Résultat comptable (2033B-310)</t>
  </si>
  <si>
    <t>Résultat fiscal (2033B-370 et 2033B-372)</t>
  </si>
  <si>
    <t>/!\ Les ammortissement ne peuvent générer du déficit en revanche -----&gt; Ammortissement excédentaire</t>
  </si>
  <si>
    <t>Amortissement excédentaire : 2033B-318</t>
  </si>
  <si>
    <t xml:space="preserve">Immobilisation brut   </t>
  </si>
  <si>
    <t>/!\ Les ammortissements ne peuvent générer du déficit en revanche -----&gt; Ammortissement excédentaire</t>
  </si>
  <si>
    <t>Bilan</t>
  </si>
  <si>
    <t>Amortissement de l'année N+1  2033C-572 et 2033B-254</t>
  </si>
  <si>
    <t>Net Exercice N+1</t>
  </si>
  <si>
    <t>Amortissement excédentaire ( de l'année N)</t>
  </si>
  <si>
    <t>2033A-120</t>
  </si>
  <si>
    <t>2033A-136</t>
  </si>
  <si>
    <t xml:space="preserve">   </t>
  </si>
  <si>
    <t>Electricité</t>
  </si>
  <si>
    <t>Internet</t>
  </si>
  <si>
    <t>2033B-242?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</si>
</sst>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9D870"/>
        <bgColor indexed="64"/>
      </patternFill>
    </fill>
    <fill>
      <patternFill patternType="solid">
        <fgColor rgb="FFC59CFF"/>
        <bgColor indexed="64"/>
      </patternFill>
    </fill>
    <fill>
      <patternFill patternType="solid">
        <fgColor rgb="FF98C99C"/>
        <bgColor indexed="64"/>
      </patternFill>
    </fill>
    <fill>
      <patternFill patternType="solid">
        <fgColor rgb="FF04B8C4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0" xfId="0" applyFont="1"/>
    <xf numFmtId="0" fontId="2" fillId="4" borderId="1" xfId="0" applyFont="1" applyFill="1" applyBorder="1"/>
    <xf numFmtId="0" fontId="2" fillId="6" borderId="0" xfId="0" applyFont="1" applyFill="1"/>
    <xf numFmtId="9" fontId="0" fillId="0" borderId="0" xfId="0" applyNumberFormat="1"/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0" fillId="8" borderId="1" xfId="0" applyFill="1" applyBorder="1"/>
    <xf numFmtId="9" fontId="0" fillId="0" borderId="1" xfId="0" applyNumberFormat="1" applyBorder="1"/>
    <xf numFmtId="0" fontId="2" fillId="0" borderId="1" xfId="0" applyFont="1" applyBorder="1"/>
    <xf numFmtId="2" fontId="0" fillId="0" borderId="1" xfId="0" applyNumberFormat="1" applyBorder="1"/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/>
    <xf numFmtId="0" fontId="2" fillId="11" borderId="1" xfId="0" applyFont="1" applyFill="1" applyBorder="1"/>
    <xf numFmtId="0" fontId="5" fillId="0" borderId="0" xfId="0" applyFont="1"/>
    <xf numFmtId="0" fontId="2" fillId="5" borderId="0" xfId="0" applyFont="1" applyFill="1"/>
    <xf numFmtId="0" fontId="2" fillId="0" borderId="1" xfId="0" applyFont="1" applyBorder="1" applyAlignment="1">
      <alignment vertical="center"/>
    </xf>
    <xf numFmtId="0" fontId="2" fillId="12" borderId="1" xfId="0" applyFont="1" applyFill="1" applyBorder="1"/>
    <xf numFmtId="0" fontId="0" fillId="12" borderId="1" xfId="0" applyFill="1" applyBorder="1"/>
    <xf numFmtId="2" fontId="0" fillId="12" borderId="1" xfId="0" applyNumberFormat="1" applyFill="1" applyBorder="1"/>
    <xf numFmtId="0" fontId="2" fillId="13" borderId="1" xfId="0" applyFont="1" applyFill="1" applyBorder="1"/>
    <xf numFmtId="0" fontId="0" fillId="13" borderId="1" xfId="0" applyFill="1" applyBorder="1"/>
    <xf numFmtId="2" fontId="0" fillId="13" borderId="1" xfId="0" applyNumberFormat="1" applyFill="1" applyBorder="1"/>
    <xf numFmtId="0" fontId="6" fillId="13" borderId="1" xfId="0" applyFont="1" applyFill="1" applyBorder="1"/>
    <xf numFmtId="0" fontId="1" fillId="13" borderId="1" xfId="0" applyFont="1" applyFill="1" applyBorder="1"/>
    <xf numFmtId="0" fontId="2" fillId="14" borderId="1" xfId="0" applyFont="1" applyFill="1" applyBorder="1"/>
    <xf numFmtId="0" fontId="0" fillId="14" borderId="1" xfId="0" applyFill="1" applyBorder="1"/>
    <xf numFmtId="2" fontId="0" fillId="14" borderId="1" xfId="0" applyNumberFormat="1" applyFill="1" applyBorder="1"/>
    <xf numFmtId="0" fontId="6" fillId="14" borderId="1" xfId="0" applyFont="1" applyFill="1" applyBorder="1"/>
    <xf numFmtId="2" fontId="0" fillId="15" borderId="1" xfId="0" applyNumberFormat="1" applyFill="1" applyBorder="1"/>
    <xf numFmtId="0" fontId="2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6" fillId="14" borderId="1" xfId="0" applyNumberFormat="1" applyFont="1" applyFill="1" applyBorder="1"/>
    <xf numFmtId="0" fontId="2" fillId="16" borderId="1" xfId="0" applyFont="1" applyFill="1" applyBorder="1"/>
    <xf numFmtId="0" fontId="0" fillId="16" borderId="1" xfId="0" applyFill="1" applyBorder="1"/>
    <xf numFmtId="0" fontId="2" fillId="17" borderId="1" xfId="0" applyFont="1" applyFill="1" applyBorder="1"/>
    <xf numFmtId="0" fontId="0" fillId="17" borderId="1" xfId="0" applyFill="1" applyBorder="1"/>
    <xf numFmtId="0" fontId="2" fillId="18" borderId="1" xfId="0" applyFont="1" applyFill="1" applyBorder="1"/>
    <xf numFmtId="0" fontId="0" fillId="18" borderId="1" xfId="0" applyFill="1" applyBorder="1"/>
    <xf numFmtId="0" fontId="2" fillId="19" borderId="1" xfId="0" applyFont="1" applyFill="1" applyBorder="1"/>
    <xf numFmtId="0" fontId="0" fillId="19" borderId="1" xfId="0" applyFill="1" applyBorder="1"/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2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B8C4"/>
      <color rgb="FF98C99C"/>
      <color rgb="FFE04D38"/>
      <color rgb="FF00D3E1"/>
      <color rgb="FFC59CFF"/>
      <color rgb="FFD89C28"/>
      <color rgb="FFE9D870"/>
      <color rgb="FFCA76FF"/>
      <color rgb="FFA65AF4"/>
      <color rgb="FFFF57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4D3B-0554-0C4A-A6B1-D8E8A9CDD2D0}">
  <dimension ref="A1:G30"/>
  <sheetViews>
    <sheetView tabSelected="1" workbookViewId="0">
      <selection activeCell="K31" sqref="K31"/>
    </sheetView>
  </sheetViews>
  <sheetFormatPr baseColWidth="10" defaultRowHeight="16" x14ac:dyDescent="0.2"/>
  <cols>
    <col min="1" max="1" width="69" customWidth="1"/>
    <col min="2" max="2" width="32.5" customWidth="1"/>
    <col min="3" max="3" width="20.6640625" customWidth="1"/>
    <col min="4" max="4" width="26.6640625" customWidth="1"/>
    <col min="5" max="5" width="31.5" customWidth="1"/>
    <col min="6" max="6" width="15.6640625" customWidth="1"/>
    <col min="7" max="7" width="35.6640625" customWidth="1"/>
  </cols>
  <sheetData>
    <row r="1" spans="1:7" ht="39" customHeight="1" x14ac:dyDescent="0.2">
      <c r="A1" s="1" t="s">
        <v>33</v>
      </c>
    </row>
    <row r="2" spans="1:7" ht="35" customHeight="1" x14ac:dyDescent="0.2">
      <c r="A2" s="4" t="s">
        <v>20</v>
      </c>
      <c r="B2" s="4" t="s">
        <v>12</v>
      </c>
      <c r="C2" s="4" t="s">
        <v>13</v>
      </c>
      <c r="D2" s="4" t="s">
        <v>15</v>
      </c>
      <c r="E2" s="5" t="s">
        <v>16</v>
      </c>
      <c r="F2" s="5" t="s">
        <v>17</v>
      </c>
      <c r="G2" s="5" t="s">
        <v>19</v>
      </c>
    </row>
    <row r="3" spans="1:7" x14ac:dyDescent="0.2">
      <c r="A3" s="6" t="s">
        <v>0</v>
      </c>
      <c r="B3" s="2"/>
      <c r="C3" s="2">
        <v>550</v>
      </c>
      <c r="D3" s="6" t="s">
        <v>18</v>
      </c>
      <c r="E3" s="2"/>
      <c r="F3" s="2"/>
      <c r="G3" s="2"/>
    </row>
    <row r="4" spans="1:7" x14ac:dyDescent="0.2">
      <c r="A4" s="6" t="s">
        <v>1</v>
      </c>
      <c r="B4" s="2"/>
      <c r="C4" s="2">
        <v>550</v>
      </c>
      <c r="D4" s="6" t="s">
        <v>18</v>
      </c>
      <c r="E4" s="2"/>
      <c r="F4" s="2"/>
      <c r="G4" s="2"/>
    </row>
    <row r="5" spans="1:7" x14ac:dyDescent="0.2">
      <c r="A5" s="6" t="s">
        <v>2</v>
      </c>
      <c r="B5" s="2"/>
      <c r="C5" s="2">
        <v>550</v>
      </c>
      <c r="D5" s="6" t="s">
        <v>18</v>
      </c>
      <c r="E5" s="2"/>
      <c r="F5" s="2"/>
      <c r="G5" s="2"/>
    </row>
    <row r="6" spans="1:7" x14ac:dyDescent="0.2">
      <c r="A6" s="6" t="s">
        <v>3</v>
      </c>
      <c r="B6" s="2"/>
      <c r="C6" s="2">
        <v>550</v>
      </c>
      <c r="D6" s="6" t="s">
        <v>18</v>
      </c>
      <c r="E6" s="2"/>
      <c r="F6" s="2"/>
      <c r="G6" s="2"/>
    </row>
    <row r="7" spans="1:7" x14ac:dyDescent="0.2">
      <c r="A7" s="6" t="s">
        <v>4</v>
      </c>
      <c r="B7" s="2"/>
      <c r="C7" s="2">
        <v>550</v>
      </c>
      <c r="D7" s="6" t="s">
        <v>18</v>
      </c>
      <c r="E7" s="2"/>
      <c r="F7" s="2"/>
      <c r="G7" s="2"/>
    </row>
    <row r="8" spans="1:7" x14ac:dyDescent="0.2">
      <c r="A8" s="6" t="s">
        <v>5</v>
      </c>
      <c r="B8" s="2"/>
      <c r="C8" s="2">
        <v>550</v>
      </c>
      <c r="D8" s="6" t="s">
        <v>18</v>
      </c>
      <c r="E8" s="2"/>
      <c r="F8" s="2"/>
      <c r="G8" s="2"/>
    </row>
    <row r="9" spans="1:7" x14ac:dyDescent="0.2">
      <c r="A9" s="6" t="s">
        <v>6</v>
      </c>
      <c r="B9" s="2"/>
      <c r="C9" s="2">
        <v>550</v>
      </c>
      <c r="D9" s="6" t="s">
        <v>18</v>
      </c>
      <c r="E9" s="2"/>
      <c r="F9" s="2"/>
      <c r="G9" s="2"/>
    </row>
    <row r="10" spans="1:7" x14ac:dyDescent="0.2">
      <c r="A10" s="6" t="s">
        <v>7</v>
      </c>
      <c r="B10" s="2"/>
      <c r="C10" s="2">
        <v>550</v>
      </c>
      <c r="D10" s="6" t="s">
        <v>18</v>
      </c>
      <c r="E10" s="2"/>
      <c r="F10" s="2"/>
      <c r="G10" s="2"/>
    </row>
    <row r="11" spans="1:7" x14ac:dyDescent="0.2">
      <c r="A11" s="6" t="s">
        <v>8</v>
      </c>
      <c r="B11" s="2"/>
      <c r="C11" s="2">
        <v>550</v>
      </c>
      <c r="D11" s="6" t="s">
        <v>18</v>
      </c>
      <c r="E11" s="2"/>
      <c r="F11" s="2"/>
      <c r="G11" s="2"/>
    </row>
    <row r="12" spans="1:7" x14ac:dyDescent="0.2">
      <c r="A12" s="6" t="s">
        <v>9</v>
      </c>
      <c r="B12" s="2"/>
      <c r="C12" s="2">
        <v>550</v>
      </c>
      <c r="D12" s="6" t="s">
        <v>18</v>
      </c>
      <c r="E12" s="2"/>
      <c r="F12" s="2"/>
      <c r="G12" s="2"/>
    </row>
    <row r="13" spans="1:7" x14ac:dyDescent="0.2">
      <c r="A13" s="6" t="s">
        <v>10</v>
      </c>
      <c r="B13" s="2"/>
      <c r="C13" s="2">
        <v>550</v>
      </c>
      <c r="D13" s="6" t="s">
        <v>18</v>
      </c>
      <c r="E13" s="2"/>
      <c r="F13" s="2"/>
      <c r="G13" s="2"/>
    </row>
    <row r="14" spans="1:7" x14ac:dyDescent="0.2">
      <c r="A14" s="6" t="s">
        <v>11</v>
      </c>
      <c r="B14" s="2"/>
      <c r="C14" s="2">
        <v>550</v>
      </c>
      <c r="D14" s="6" t="s">
        <v>18</v>
      </c>
      <c r="E14" s="2"/>
      <c r="F14" s="2"/>
      <c r="G14" s="2"/>
    </row>
    <row r="15" spans="1:7" x14ac:dyDescent="0.2">
      <c r="A15" s="7" t="s">
        <v>32</v>
      </c>
      <c r="C15" s="9">
        <f>SUM(C3:C14)</f>
        <v>6600</v>
      </c>
      <c r="D15" s="7"/>
    </row>
    <row r="16" spans="1:7" x14ac:dyDescent="0.2">
      <c r="A16" s="44" t="s">
        <v>21</v>
      </c>
      <c r="B16" s="45"/>
      <c r="C16" s="45">
        <v>-160</v>
      </c>
      <c r="D16" s="44" t="s">
        <v>27</v>
      </c>
      <c r="E16" s="45"/>
      <c r="F16" s="45"/>
      <c r="G16" s="45"/>
    </row>
    <row r="17" spans="1:7" x14ac:dyDescent="0.2">
      <c r="A17" s="44" t="s">
        <v>21</v>
      </c>
      <c r="B17" s="45"/>
      <c r="C17" s="45">
        <v>-160</v>
      </c>
      <c r="D17" s="44" t="s">
        <v>27</v>
      </c>
      <c r="E17" s="45"/>
      <c r="F17" s="45"/>
      <c r="G17" s="45"/>
    </row>
    <row r="18" spans="1:7" x14ac:dyDescent="0.2">
      <c r="A18" s="44" t="s">
        <v>21</v>
      </c>
      <c r="B18" s="45"/>
      <c r="C18" s="45">
        <v>-160</v>
      </c>
      <c r="D18" s="44" t="s">
        <v>27</v>
      </c>
      <c r="E18" s="45"/>
      <c r="F18" s="45"/>
      <c r="G18" s="45"/>
    </row>
    <row r="19" spans="1:7" x14ac:dyDescent="0.2">
      <c r="A19" s="44" t="s">
        <v>21</v>
      </c>
      <c r="B19" s="45"/>
      <c r="C19" s="45">
        <v>-160</v>
      </c>
      <c r="D19" s="44" t="s">
        <v>27</v>
      </c>
      <c r="E19" s="45"/>
      <c r="F19" s="45"/>
      <c r="G19" s="45"/>
    </row>
    <row r="20" spans="1:7" x14ac:dyDescent="0.2">
      <c r="A20" s="8" t="s">
        <v>22</v>
      </c>
      <c r="B20" s="3"/>
      <c r="C20" s="3">
        <v>-568</v>
      </c>
      <c r="D20" s="8" t="s">
        <v>28</v>
      </c>
      <c r="E20" s="3"/>
      <c r="F20" s="3"/>
      <c r="G20" s="3"/>
    </row>
    <row r="21" spans="1:7" x14ac:dyDescent="0.2">
      <c r="A21" s="8" t="s">
        <v>73</v>
      </c>
      <c r="B21" s="3"/>
      <c r="C21" s="3">
        <v>-300</v>
      </c>
      <c r="D21" s="8" t="s">
        <v>28</v>
      </c>
      <c r="E21" s="3"/>
      <c r="F21" s="3"/>
      <c r="G21" s="3"/>
    </row>
    <row r="22" spans="1:7" x14ac:dyDescent="0.2">
      <c r="A22" s="48" t="s">
        <v>23</v>
      </c>
      <c r="B22" s="49"/>
      <c r="C22" s="49">
        <v>-100</v>
      </c>
      <c r="D22" s="48" t="s">
        <v>27</v>
      </c>
      <c r="E22" s="49"/>
      <c r="F22" s="49"/>
      <c r="G22" s="49"/>
    </row>
    <row r="23" spans="1:7" x14ac:dyDescent="0.2">
      <c r="A23" s="46" t="s">
        <v>24</v>
      </c>
      <c r="B23" s="47"/>
      <c r="C23" s="47">
        <v>-768</v>
      </c>
      <c r="D23" s="46" t="s">
        <v>29</v>
      </c>
      <c r="E23" s="47"/>
      <c r="F23" s="47"/>
      <c r="G23" s="47"/>
    </row>
    <row r="24" spans="1:7" x14ac:dyDescent="0.2">
      <c r="A24" s="46" t="s">
        <v>25</v>
      </c>
      <c r="B24" s="47"/>
      <c r="C24" s="47"/>
      <c r="D24" s="46" t="s">
        <v>29</v>
      </c>
      <c r="E24" s="47"/>
      <c r="F24" s="47"/>
      <c r="G24" s="47"/>
    </row>
    <row r="25" spans="1:7" x14ac:dyDescent="0.2">
      <c r="A25" s="56" t="s">
        <v>88</v>
      </c>
      <c r="B25" s="56"/>
      <c r="C25" s="56">
        <v>-720</v>
      </c>
      <c r="D25" s="56" t="s">
        <v>90</v>
      </c>
      <c r="E25" s="56"/>
      <c r="F25" s="56"/>
      <c r="G25" s="56"/>
    </row>
    <row r="26" spans="1:7" x14ac:dyDescent="0.2">
      <c r="A26" s="56" t="s">
        <v>89</v>
      </c>
      <c r="B26" s="56"/>
      <c r="C26" s="56">
        <v>-250</v>
      </c>
      <c r="D26" s="56" t="s">
        <v>90</v>
      </c>
      <c r="E26" s="56"/>
      <c r="F26" s="56"/>
      <c r="G26" s="56"/>
    </row>
    <row r="27" spans="1:7" x14ac:dyDescent="0.2">
      <c r="A27" s="50" t="s">
        <v>26</v>
      </c>
      <c r="B27" s="51"/>
      <c r="C27" s="51">
        <f>-Amortissement!F12</f>
        <v>-3258.666666666667</v>
      </c>
      <c r="D27" s="50" t="s">
        <v>31</v>
      </c>
      <c r="E27" s="51"/>
      <c r="F27" s="51"/>
      <c r="G27" s="51"/>
    </row>
    <row r="28" spans="1:7" x14ac:dyDescent="0.2">
      <c r="A28" s="7" t="s">
        <v>32</v>
      </c>
      <c r="C28" s="23">
        <f>SUM(C16:C27)</f>
        <v>-6604.666666666667</v>
      </c>
    </row>
    <row r="30" spans="1:7" ht="26" x14ac:dyDescent="0.3">
      <c r="B30" s="2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9E76F-878B-E740-9C61-0F34109C8E19}">
  <dimension ref="A2:L66"/>
  <sheetViews>
    <sheetView topLeftCell="A14" workbookViewId="0">
      <selection activeCell="K31" sqref="K31"/>
    </sheetView>
  </sheetViews>
  <sheetFormatPr baseColWidth="10" defaultRowHeight="16" x14ac:dyDescent="0.2"/>
  <cols>
    <col min="1" max="1" width="38.5" customWidth="1"/>
    <col min="3" max="3" width="32.6640625" customWidth="1"/>
    <col min="4" max="4" width="16.1640625" customWidth="1"/>
    <col min="5" max="5" width="51.5" customWidth="1"/>
    <col min="6" max="6" width="18.6640625" customWidth="1"/>
    <col min="7" max="7" width="16.6640625" customWidth="1"/>
  </cols>
  <sheetData>
    <row r="2" spans="1:8" x14ac:dyDescent="0.2">
      <c r="A2" s="12" t="s">
        <v>34</v>
      </c>
      <c r="B2" s="13">
        <v>104000</v>
      </c>
      <c r="C2" s="13"/>
      <c r="D2" s="13"/>
      <c r="E2" s="13"/>
      <c r="F2" s="13"/>
      <c r="G2" s="13"/>
      <c r="H2" s="13"/>
    </row>
    <row r="3" spans="1:8" x14ac:dyDescent="0.2">
      <c r="A3" s="12" t="s">
        <v>35</v>
      </c>
      <c r="B3" s="13">
        <f>B2-D6</f>
        <v>88400</v>
      </c>
      <c r="C3" s="13"/>
      <c r="D3" s="13"/>
      <c r="E3" s="13"/>
      <c r="F3" s="13"/>
      <c r="G3" s="13"/>
      <c r="H3" s="13"/>
    </row>
    <row r="4" spans="1:8" x14ac:dyDescent="0.2">
      <c r="A4" s="12" t="s">
        <v>36</v>
      </c>
      <c r="B4" s="14">
        <v>44927</v>
      </c>
      <c r="C4" s="13"/>
      <c r="D4" s="13"/>
      <c r="E4" s="13"/>
      <c r="F4" s="13"/>
      <c r="G4" s="13"/>
      <c r="H4" s="13"/>
    </row>
    <row r="5" spans="1:8" x14ac:dyDescent="0.2">
      <c r="A5" s="12"/>
      <c r="B5" s="15"/>
      <c r="C5" s="12" t="s">
        <v>43</v>
      </c>
      <c r="D5" s="12" t="s">
        <v>44</v>
      </c>
      <c r="E5" s="12" t="s">
        <v>15</v>
      </c>
      <c r="F5" s="12" t="s">
        <v>26</v>
      </c>
      <c r="G5" s="12" t="s">
        <v>49</v>
      </c>
      <c r="H5" s="12" t="s">
        <v>15</v>
      </c>
    </row>
    <row r="6" spans="1:8" x14ac:dyDescent="0.2">
      <c r="A6" s="12" t="s">
        <v>74</v>
      </c>
      <c r="B6" s="10">
        <v>0.15</v>
      </c>
      <c r="C6" s="13"/>
      <c r="D6" s="13">
        <f>(0.15)*B2</f>
        <v>15600</v>
      </c>
    </row>
    <row r="7" spans="1:8" x14ac:dyDescent="0.2">
      <c r="A7" s="12" t="s">
        <v>41</v>
      </c>
      <c r="B7" s="16">
        <v>0.25</v>
      </c>
      <c r="C7" s="13">
        <v>50</v>
      </c>
      <c r="D7" s="13">
        <f>B7*($B$2)</f>
        <v>26000</v>
      </c>
      <c r="E7" s="24" t="s">
        <v>45</v>
      </c>
      <c r="F7" s="18">
        <f>D7/C7</f>
        <v>520</v>
      </c>
      <c r="G7" s="13">
        <f>D7-F7</f>
        <v>25480</v>
      </c>
      <c r="H7" s="17" t="s">
        <v>50</v>
      </c>
    </row>
    <row r="8" spans="1:8" x14ac:dyDescent="0.2">
      <c r="A8" s="12" t="s">
        <v>38</v>
      </c>
      <c r="B8" s="16">
        <v>0.2</v>
      </c>
      <c r="C8" s="13">
        <v>40</v>
      </c>
      <c r="D8" s="13">
        <f t="shared" ref="D8:D10" si="0">B8*($B$2)</f>
        <v>20800</v>
      </c>
      <c r="E8" s="24"/>
      <c r="F8" s="13">
        <f>D8/C8</f>
        <v>520</v>
      </c>
      <c r="G8" s="13">
        <f t="shared" ref="G8:G10" si="1">D8-F8</f>
        <v>20280</v>
      </c>
      <c r="H8" s="17" t="s">
        <v>50</v>
      </c>
    </row>
    <row r="9" spans="1:8" x14ac:dyDescent="0.2">
      <c r="A9" s="12" t="s">
        <v>39</v>
      </c>
      <c r="B9" s="16">
        <v>0.2</v>
      </c>
      <c r="C9" s="13">
        <v>25</v>
      </c>
      <c r="D9" s="13">
        <f t="shared" si="0"/>
        <v>20800</v>
      </c>
      <c r="E9" s="17" t="s">
        <v>46</v>
      </c>
      <c r="F9" s="13">
        <f>D9/C9</f>
        <v>832</v>
      </c>
      <c r="G9" s="13">
        <f t="shared" si="1"/>
        <v>19968</v>
      </c>
      <c r="H9" s="17" t="s">
        <v>51</v>
      </c>
    </row>
    <row r="10" spans="1:8" x14ac:dyDescent="0.2">
      <c r="A10" s="12" t="s">
        <v>42</v>
      </c>
      <c r="B10" s="16">
        <v>0.2</v>
      </c>
      <c r="C10" s="13">
        <v>15</v>
      </c>
      <c r="D10" s="13">
        <f t="shared" si="0"/>
        <v>20800</v>
      </c>
      <c r="E10" s="17" t="s">
        <v>47</v>
      </c>
      <c r="F10" s="13">
        <f>D10/C10</f>
        <v>1386.6666666666667</v>
      </c>
      <c r="G10" s="13">
        <f t="shared" si="1"/>
        <v>19413.333333333332</v>
      </c>
      <c r="H10" s="17" t="s">
        <v>52</v>
      </c>
    </row>
    <row r="11" spans="1:8" x14ac:dyDescent="0.2">
      <c r="A11" s="12" t="s">
        <v>40</v>
      </c>
      <c r="B11" s="13"/>
      <c r="C11" s="13">
        <v>10</v>
      </c>
      <c r="D11" s="13"/>
      <c r="E11" s="17" t="s">
        <v>48</v>
      </c>
      <c r="F11" s="13"/>
      <c r="G11" s="13"/>
      <c r="H11" s="17" t="s">
        <v>53</v>
      </c>
    </row>
    <row r="12" spans="1:8" ht="19" x14ac:dyDescent="0.2">
      <c r="A12" s="13"/>
      <c r="B12" s="13"/>
      <c r="C12" s="13" t="s">
        <v>14</v>
      </c>
      <c r="D12" s="13">
        <f>SUM(D6:D10)</f>
        <v>104000</v>
      </c>
      <c r="E12" s="13"/>
      <c r="F12" s="11">
        <f>SUM(F7:F11)</f>
        <v>3258.666666666667</v>
      </c>
      <c r="G12" s="13">
        <f>SUM(G7:G11)</f>
        <v>85141.333333333328</v>
      </c>
      <c r="H12" s="17" t="s">
        <v>30</v>
      </c>
    </row>
    <row r="14" spans="1:8" ht="35" customHeight="1" x14ac:dyDescent="0.2">
      <c r="A14" s="19" t="s">
        <v>54</v>
      </c>
      <c r="B14" s="19" t="s">
        <v>37</v>
      </c>
      <c r="C14" s="19" t="s">
        <v>56</v>
      </c>
      <c r="D14" s="19" t="s">
        <v>39</v>
      </c>
      <c r="E14" s="19" t="s">
        <v>57</v>
      </c>
      <c r="F14" s="19" t="s">
        <v>40</v>
      </c>
      <c r="G14" s="19" t="s">
        <v>14</v>
      </c>
    </row>
    <row r="15" spans="1:8" x14ac:dyDescent="0.2">
      <c r="A15" s="20" t="s">
        <v>55</v>
      </c>
      <c r="B15" s="13"/>
      <c r="C15" s="13"/>
      <c r="D15" s="13"/>
      <c r="E15" s="13"/>
      <c r="F15" s="13"/>
      <c r="G15" s="17"/>
    </row>
    <row r="16" spans="1:8" x14ac:dyDescent="0.2">
      <c r="A16" s="20">
        <v>2023</v>
      </c>
      <c r="B16" s="18">
        <f>F7</f>
        <v>520</v>
      </c>
      <c r="C16" s="13">
        <f t="shared" ref="C16:C55" si="2">$F$8</f>
        <v>520</v>
      </c>
      <c r="D16" s="13">
        <f t="shared" ref="D16:D40" si="3">$F$9</f>
        <v>832</v>
      </c>
      <c r="E16" s="13">
        <f t="shared" ref="E16:E30" si="4">$F$10</f>
        <v>1386.6666666666667</v>
      </c>
      <c r="F16" s="13"/>
      <c r="G16" s="21">
        <f>SUM(B16:F16)</f>
        <v>3258.666666666667</v>
      </c>
    </row>
    <row r="17" spans="1:12" x14ac:dyDescent="0.2">
      <c r="A17" s="20">
        <v>2024</v>
      </c>
      <c r="B17" s="18">
        <f>F7</f>
        <v>520</v>
      </c>
      <c r="C17" s="13">
        <f t="shared" si="2"/>
        <v>520</v>
      </c>
      <c r="D17" s="13">
        <f t="shared" si="3"/>
        <v>832</v>
      </c>
      <c r="E17" s="13">
        <f t="shared" si="4"/>
        <v>1386.6666666666667</v>
      </c>
      <c r="F17" s="13"/>
      <c r="G17" s="21">
        <f t="shared" ref="G17:G65" si="5">SUM(B17:F17)</f>
        <v>3258.666666666667</v>
      </c>
    </row>
    <row r="18" spans="1:12" x14ac:dyDescent="0.2">
      <c r="A18" s="20">
        <v>2025</v>
      </c>
      <c r="B18" s="18">
        <f>F7</f>
        <v>520</v>
      </c>
      <c r="C18" s="13">
        <f t="shared" si="2"/>
        <v>520</v>
      </c>
      <c r="D18" s="13">
        <f t="shared" si="3"/>
        <v>832</v>
      </c>
      <c r="E18" s="13">
        <f t="shared" si="4"/>
        <v>1386.6666666666667</v>
      </c>
      <c r="F18" s="13"/>
      <c r="G18" s="21">
        <f t="shared" si="5"/>
        <v>3258.666666666667</v>
      </c>
    </row>
    <row r="19" spans="1:12" x14ac:dyDescent="0.2">
      <c r="A19" s="20">
        <v>2026</v>
      </c>
      <c r="B19" s="18">
        <f t="shared" ref="B19:B65" si="6">$F$7</f>
        <v>520</v>
      </c>
      <c r="C19" s="13">
        <f t="shared" si="2"/>
        <v>520</v>
      </c>
      <c r="D19" s="13">
        <f t="shared" si="3"/>
        <v>832</v>
      </c>
      <c r="E19" s="13">
        <f t="shared" si="4"/>
        <v>1386.6666666666667</v>
      </c>
      <c r="F19" s="13"/>
      <c r="G19" s="21">
        <f t="shared" si="5"/>
        <v>3258.666666666667</v>
      </c>
    </row>
    <row r="20" spans="1:12" x14ac:dyDescent="0.2">
      <c r="A20" s="20">
        <v>2027</v>
      </c>
      <c r="B20" s="18">
        <f t="shared" si="6"/>
        <v>520</v>
      </c>
      <c r="C20" s="13">
        <f t="shared" si="2"/>
        <v>520</v>
      </c>
      <c r="D20" s="13">
        <f t="shared" si="3"/>
        <v>832</v>
      </c>
      <c r="E20" s="13">
        <f t="shared" si="4"/>
        <v>1386.6666666666667</v>
      </c>
      <c r="F20" s="13"/>
      <c r="G20" s="21">
        <f t="shared" si="5"/>
        <v>3258.666666666667</v>
      </c>
    </row>
    <row r="21" spans="1:12" x14ac:dyDescent="0.2">
      <c r="A21" s="20">
        <v>2028</v>
      </c>
      <c r="B21" s="18">
        <f t="shared" si="6"/>
        <v>520</v>
      </c>
      <c r="C21" s="13">
        <f t="shared" si="2"/>
        <v>520</v>
      </c>
      <c r="D21" s="13">
        <f t="shared" si="3"/>
        <v>832</v>
      </c>
      <c r="E21" s="13">
        <f t="shared" si="4"/>
        <v>1386.6666666666667</v>
      </c>
      <c r="F21" s="13"/>
      <c r="G21" s="21">
        <f t="shared" si="5"/>
        <v>3258.666666666667</v>
      </c>
    </row>
    <row r="22" spans="1:12" x14ac:dyDescent="0.2">
      <c r="A22" s="20">
        <v>2029</v>
      </c>
      <c r="B22" s="18">
        <f t="shared" si="6"/>
        <v>520</v>
      </c>
      <c r="C22" s="13">
        <f t="shared" si="2"/>
        <v>520</v>
      </c>
      <c r="D22" s="13">
        <f t="shared" si="3"/>
        <v>832</v>
      </c>
      <c r="E22" s="13">
        <f t="shared" si="4"/>
        <v>1386.6666666666667</v>
      </c>
      <c r="F22" s="13"/>
      <c r="G22" s="21">
        <f t="shared" si="5"/>
        <v>3258.666666666667</v>
      </c>
    </row>
    <row r="23" spans="1:12" x14ac:dyDescent="0.2">
      <c r="A23" s="20">
        <v>2030</v>
      </c>
      <c r="B23" s="18">
        <f t="shared" si="6"/>
        <v>520</v>
      </c>
      <c r="C23" s="13">
        <f t="shared" si="2"/>
        <v>520</v>
      </c>
      <c r="D23" s="13">
        <f t="shared" si="3"/>
        <v>832</v>
      </c>
      <c r="E23" s="13">
        <f t="shared" si="4"/>
        <v>1386.6666666666667</v>
      </c>
      <c r="F23" s="13"/>
      <c r="G23" s="21">
        <f t="shared" si="5"/>
        <v>3258.666666666667</v>
      </c>
      <c r="L23" t="s">
        <v>33</v>
      </c>
    </row>
    <row r="24" spans="1:12" x14ac:dyDescent="0.2">
      <c r="A24" s="20">
        <v>2031</v>
      </c>
      <c r="B24" s="18">
        <f t="shared" si="6"/>
        <v>520</v>
      </c>
      <c r="C24" s="13">
        <f t="shared" si="2"/>
        <v>520</v>
      </c>
      <c r="D24" s="13">
        <f t="shared" si="3"/>
        <v>832</v>
      </c>
      <c r="E24" s="13">
        <f t="shared" si="4"/>
        <v>1386.6666666666667</v>
      </c>
      <c r="F24" s="13"/>
      <c r="G24" s="21">
        <f t="shared" si="5"/>
        <v>3258.666666666667</v>
      </c>
    </row>
    <row r="25" spans="1:12" x14ac:dyDescent="0.2">
      <c r="A25" s="20">
        <v>2032</v>
      </c>
      <c r="B25" s="18">
        <f t="shared" si="6"/>
        <v>520</v>
      </c>
      <c r="C25" s="13">
        <f t="shared" si="2"/>
        <v>520</v>
      </c>
      <c r="D25" s="13">
        <f t="shared" si="3"/>
        <v>832</v>
      </c>
      <c r="E25" s="13">
        <f t="shared" si="4"/>
        <v>1386.6666666666667</v>
      </c>
      <c r="F25" s="13"/>
      <c r="G25" s="21">
        <f t="shared" si="5"/>
        <v>3258.666666666667</v>
      </c>
    </row>
    <row r="26" spans="1:12" x14ac:dyDescent="0.2">
      <c r="A26" s="20">
        <v>2033</v>
      </c>
      <c r="B26" s="18">
        <f t="shared" si="6"/>
        <v>520</v>
      </c>
      <c r="C26" s="13">
        <f t="shared" si="2"/>
        <v>520</v>
      </c>
      <c r="D26" s="13">
        <f t="shared" si="3"/>
        <v>832</v>
      </c>
      <c r="E26" s="13">
        <f t="shared" si="4"/>
        <v>1386.6666666666667</v>
      </c>
      <c r="F26" s="13"/>
      <c r="G26" s="21">
        <f t="shared" si="5"/>
        <v>3258.666666666667</v>
      </c>
    </row>
    <row r="27" spans="1:12" x14ac:dyDescent="0.2">
      <c r="A27" s="20">
        <v>2034</v>
      </c>
      <c r="B27" s="18">
        <f t="shared" si="6"/>
        <v>520</v>
      </c>
      <c r="C27" s="13">
        <f t="shared" si="2"/>
        <v>520</v>
      </c>
      <c r="D27" s="13">
        <f t="shared" si="3"/>
        <v>832</v>
      </c>
      <c r="E27" s="13">
        <f t="shared" si="4"/>
        <v>1386.6666666666667</v>
      </c>
      <c r="F27" s="13"/>
      <c r="G27" s="21">
        <f t="shared" si="5"/>
        <v>3258.666666666667</v>
      </c>
    </row>
    <row r="28" spans="1:12" x14ac:dyDescent="0.2">
      <c r="A28" s="20">
        <v>2035</v>
      </c>
      <c r="B28" s="18">
        <f t="shared" si="6"/>
        <v>520</v>
      </c>
      <c r="C28" s="13">
        <f t="shared" si="2"/>
        <v>520</v>
      </c>
      <c r="D28" s="13">
        <f t="shared" si="3"/>
        <v>832</v>
      </c>
      <c r="E28" s="13">
        <f t="shared" si="4"/>
        <v>1386.6666666666667</v>
      </c>
      <c r="F28" s="13"/>
      <c r="G28" s="21">
        <f t="shared" si="5"/>
        <v>3258.666666666667</v>
      </c>
    </row>
    <row r="29" spans="1:12" x14ac:dyDescent="0.2">
      <c r="A29" s="20">
        <v>2036</v>
      </c>
      <c r="B29" s="18">
        <f t="shared" si="6"/>
        <v>520</v>
      </c>
      <c r="C29" s="13">
        <f t="shared" si="2"/>
        <v>520</v>
      </c>
      <c r="D29" s="13">
        <f t="shared" si="3"/>
        <v>832</v>
      </c>
      <c r="E29" s="13">
        <f t="shared" si="4"/>
        <v>1386.6666666666667</v>
      </c>
      <c r="F29" s="13"/>
      <c r="G29" s="21">
        <f t="shared" si="5"/>
        <v>3258.666666666667</v>
      </c>
    </row>
    <row r="30" spans="1:12" x14ac:dyDescent="0.2">
      <c r="A30" s="20">
        <v>2037</v>
      </c>
      <c r="B30" s="18">
        <f t="shared" si="6"/>
        <v>520</v>
      </c>
      <c r="C30" s="13">
        <f t="shared" si="2"/>
        <v>520</v>
      </c>
      <c r="D30" s="13">
        <f t="shared" si="3"/>
        <v>832</v>
      </c>
      <c r="E30" s="13">
        <f t="shared" si="4"/>
        <v>1386.6666666666667</v>
      </c>
      <c r="F30" s="13"/>
      <c r="G30" s="21">
        <f t="shared" si="5"/>
        <v>3258.666666666667</v>
      </c>
    </row>
    <row r="31" spans="1:12" x14ac:dyDescent="0.2">
      <c r="A31" s="20">
        <v>2038</v>
      </c>
      <c r="B31" s="18">
        <f t="shared" si="6"/>
        <v>520</v>
      </c>
      <c r="C31" s="13">
        <f t="shared" si="2"/>
        <v>520</v>
      </c>
      <c r="D31" s="13">
        <f t="shared" si="3"/>
        <v>832</v>
      </c>
      <c r="E31" s="13"/>
      <c r="F31" s="13"/>
      <c r="G31" s="21">
        <f t="shared" si="5"/>
        <v>1872</v>
      </c>
    </row>
    <row r="32" spans="1:12" x14ac:dyDescent="0.2">
      <c r="A32" s="20">
        <v>2039</v>
      </c>
      <c r="B32" s="18">
        <f t="shared" si="6"/>
        <v>520</v>
      </c>
      <c r="C32" s="13">
        <f t="shared" si="2"/>
        <v>520</v>
      </c>
      <c r="D32" s="13">
        <f t="shared" si="3"/>
        <v>832</v>
      </c>
      <c r="E32" s="13"/>
      <c r="F32" s="13"/>
      <c r="G32" s="21">
        <f t="shared" si="5"/>
        <v>1872</v>
      </c>
    </row>
    <row r="33" spans="1:7" x14ac:dyDescent="0.2">
      <c r="A33" s="20">
        <v>2040</v>
      </c>
      <c r="B33" s="18">
        <f t="shared" si="6"/>
        <v>520</v>
      </c>
      <c r="C33" s="13">
        <f t="shared" si="2"/>
        <v>520</v>
      </c>
      <c r="D33" s="13">
        <f t="shared" si="3"/>
        <v>832</v>
      </c>
      <c r="E33" s="13"/>
      <c r="F33" s="13"/>
      <c r="G33" s="21">
        <f t="shared" si="5"/>
        <v>1872</v>
      </c>
    </row>
    <row r="34" spans="1:7" x14ac:dyDescent="0.2">
      <c r="A34" s="20">
        <v>2041</v>
      </c>
      <c r="B34" s="18">
        <f t="shared" si="6"/>
        <v>520</v>
      </c>
      <c r="C34" s="13">
        <f t="shared" si="2"/>
        <v>520</v>
      </c>
      <c r="D34" s="13">
        <f t="shared" si="3"/>
        <v>832</v>
      </c>
      <c r="E34" s="13"/>
      <c r="F34" s="13"/>
      <c r="G34" s="21">
        <f t="shared" si="5"/>
        <v>1872</v>
      </c>
    </row>
    <row r="35" spans="1:7" x14ac:dyDescent="0.2">
      <c r="A35" s="20">
        <v>2042</v>
      </c>
      <c r="B35" s="18">
        <f t="shared" si="6"/>
        <v>520</v>
      </c>
      <c r="C35" s="13">
        <f t="shared" si="2"/>
        <v>520</v>
      </c>
      <c r="D35" s="13">
        <f t="shared" si="3"/>
        <v>832</v>
      </c>
      <c r="E35" s="13"/>
      <c r="F35" s="13"/>
      <c r="G35" s="21">
        <f t="shared" si="5"/>
        <v>1872</v>
      </c>
    </row>
    <row r="36" spans="1:7" x14ac:dyDescent="0.2">
      <c r="A36" s="20">
        <v>2043</v>
      </c>
      <c r="B36" s="18">
        <f t="shared" si="6"/>
        <v>520</v>
      </c>
      <c r="C36" s="13">
        <f t="shared" si="2"/>
        <v>520</v>
      </c>
      <c r="D36" s="13">
        <f t="shared" si="3"/>
        <v>832</v>
      </c>
      <c r="E36" s="13"/>
      <c r="F36" s="13"/>
      <c r="G36" s="21">
        <f t="shared" si="5"/>
        <v>1872</v>
      </c>
    </row>
    <row r="37" spans="1:7" x14ac:dyDescent="0.2">
      <c r="A37" s="20">
        <v>2044</v>
      </c>
      <c r="B37" s="18">
        <f t="shared" si="6"/>
        <v>520</v>
      </c>
      <c r="C37" s="13">
        <f t="shared" si="2"/>
        <v>520</v>
      </c>
      <c r="D37" s="13">
        <f t="shared" si="3"/>
        <v>832</v>
      </c>
      <c r="E37" s="13"/>
      <c r="F37" s="13"/>
      <c r="G37" s="21">
        <f t="shared" si="5"/>
        <v>1872</v>
      </c>
    </row>
    <row r="38" spans="1:7" x14ac:dyDescent="0.2">
      <c r="A38" s="20">
        <v>2045</v>
      </c>
      <c r="B38" s="18">
        <f t="shared" si="6"/>
        <v>520</v>
      </c>
      <c r="C38" s="13">
        <f t="shared" si="2"/>
        <v>520</v>
      </c>
      <c r="D38" s="13">
        <f t="shared" si="3"/>
        <v>832</v>
      </c>
      <c r="E38" s="13"/>
      <c r="F38" s="13"/>
      <c r="G38" s="21">
        <f t="shared" si="5"/>
        <v>1872</v>
      </c>
    </row>
    <row r="39" spans="1:7" x14ac:dyDescent="0.2">
      <c r="A39" s="20">
        <v>2046</v>
      </c>
      <c r="B39" s="18">
        <f t="shared" si="6"/>
        <v>520</v>
      </c>
      <c r="C39" s="13">
        <f t="shared" si="2"/>
        <v>520</v>
      </c>
      <c r="D39" s="13">
        <f t="shared" si="3"/>
        <v>832</v>
      </c>
      <c r="E39" s="13"/>
      <c r="F39" s="13"/>
      <c r="G39" s="21">
        <f t="shared" si="5"/>
        <v>1872</v>
      </c>
    </row>
    <row r="40" spans="1:7" x14ac:dyDescent="0.2">
      <c r="A40" s="20">
        <v>2047</v>
      </c>
      <c r="B40" s="18">
        <f t="shared" si="6"/>
        <v>520</v>
      </c>
      <c r="C40" s="13">
        <f t="shared" si="2"/>
        <v>520</v>
      </c>
      <c r="D40" s="13">
        <f t="shared" si="3"/>
        <v>832</v>
      </c>
      <c r="E40" s="13"/>
      <c r="F40" s="13"/>
      <c r="G40" s="21">
        <f t="shared" si="5"/>
        <v>1872</v>
      </c>
    </row>
    <row r="41" spans="1:7" x14ac:dyDescent="0.2">
      <c r="A41" s="20">
        <v>2048</v>
      </c>
      <c r="B41" s="18">
        <f t="shared" si="6"/>
        <v>520</v>
      </c>
      <c r="C41" s="13">
        <f t="shared" si="2"/>
        <v>520</v>
      </c>
      <c r="D41" s="13"/>
      <c r="E41" s="13"/>
      <c r="F41" s="13"/>
      <c r="G41" s="21">
        <f t="shared" si="5"/>
        <v>1040</v>
      </c>
    </row>
    <row r="42" spans="1:7" x14ac:dyDescent="0.2">
      <c r="A42" s="20">
        <v>2049</v>
      </c>
      <c r="B42" s="18">
        <f t="shared" si="6"/>
        <v>520</v>
      </c>
      <c r="C42" s="13">
        <f t="shared" si="2"/>
        <v>520</v>
      </c>
      <c r="D42" s="13"/>
      <c r="E42" s="13"/>
      <c r="F42" s="13"/>
      <c r="G42" s="21">
        <f t="shared" si="5"/>
        <v>1040</v>
      </c>
    </row>
    <row r="43" spans="1:7" x14ac:dyDescent="0.2">
      <c r="A43" s="20">
        <v>2050</v>
      </c>
      <c r="B43" s="18">
        <f t="shared" si="6"/>
        <v>520</v>
      </c>
      <c r="C43" s="13">
        <f t="shared" si="2"/>
        <v>520</v>
      </c>
      <c r="D43" s="13"/>
      <c r="E43" s="13"/>
      <c r="F43" s="13"/>
      <c r="G43" s="21">
        <f t="shared" si="5"/>
        <v>1040</v>
      </c>
    </row>
    <row r="44" spans="1:7" x14ac:dyDescent="0.2">
      <c r="A44" s="20">
        <v>2051</v>
      </c>
      <c r="B44" s="18">
        <f t="shared" si="6"/>
        <v>520</v>
      </c>
      <c r="C44" s="13">
        <f t="shared" si="2"/>
        <v>520</v>
      </c>
      <c r="D44" s="13"/>
      <c r="E44" s="13"/>
      <c r="F44" s="13"/>
      <c r="G44" s="21">
        <f t="shared" si="5"/>
        <v>1040</v>
      </c>
    </row>
    <row r="45" spans="1:7" x14ac:dyDescent="0.2">
      <c r="A45" s="20">
        <v>2052</v>
      </c>
      <c r="B45" s="18">
        <f t="shared" si="6"/>
        <v>520</v>
      </c>
      <c r="C45" s="13">
        <f t="shared" si="2"/>
        <v>520</v>
      </c>
      <c r="D45" s="13"/>
      <c r="E45" s="13"/>
      <c r="F45" s="13"/>
      <c r="G45" s="21">
        <f t="shared" si="5"/>
        <v>1040</v>
      </c>
    </row>
    <row r="46" spans="1:7" x14ac:dyDescent="0.2">
      <c r="A46" s="20">
        <v>2053</v>
      </c>
      <c r="B46" s="18">
        <f t="shared" si="6"/>
        <v>520</v>
      </c>
      <c r="C46" s="13">
        <f t="shared" si="2"/>
        <v>520</v>
      </c>
      <c r="D46" s="13"/>
      <c r="E46" s="13"/>
      <c r="F46" s="13"/>
      <c r="G46" s="21">
        <f t="shared" si="5"/>
        <v>1040</v>
      </c>
    </row>
    <row r="47" spans="1:7" x14ac:dyDescent="0.2">
      <c r="A47" s="20">
        <v>2054</v>
      </c>
      <c r="B47" s="18">
        <f t="shared" si="6"/>
        <v>520</v>
      </c>
      <c r="C47" s="13">
        <f t="shared" si="2"/>
        <v>520</v>
      </c>
      <c r="D47" s="13"/>
      <c r="E47" s="13"/>
      <c r="F47" s="13"/>
      <c r="G47" s="21">
        <f t="shared" si="5"/>
        <v>1040</v>
      </c>
    </row>
    <row r="48" spans="1:7" x14ac:dyDescent="0.2">
      <c r="A48" s="20">
        <v>2055</v>
      </c>
      <c r="B48" s="18">
        <f t="shared" si="6"/>
        <v>520</v>
      </c>
      <c r="C48" s="13">
        <f t="shared" si="2"/>
        <v>520</v>
      </c>
      <c r="D48" s="13"/>
      <c r="E48" s="13"/>
      <c r="F48" s="13"/>
      <c r="G48" s="21">
        <f t="shared" si="5"/>
        <v>1040</v>
      </c>
    </row>
    <row r="49" spans="1:7" x14ac:dyDescent="0.2">
      <c r="A49" s="20">
        <v>2056</v>
      </c>
      <c r="B49" s="18">
        <f t="shared" si="6"/>
        <v>520</v>
      </c>
      <c r="C49" s="13">
        <f t="shared" si="2"/>
        <v>520</v>
      </c>
      <c r="D49" s="13"/>
      <c r="E49" s="13"/>
      <c r="F49" s="13"/>
      <c r="G49" s="21">
        <f t="shared" si="5"/>
        <v>1040</v>
      </c>
    </row>
    <row r="50" spans="1:7" x14ac:dyDescent="0.2">
      <c r="A50" s="20">
        <v>2057</v>
      </c>
      <c r="B50" s="18">
        <f t="shared" si="6"/>
        <v>520</v>
      </c>
      <c r="C50" s="13">
        <f t="shared" si="2"/>
        <v>520</v>
      </c>
      <c r="D50" s="13"/>
      <c r="E50" s="13"/>
      <c r="F50" s="13"/>
      <c r="G50" s="21">
        <f t="shared" si="5"/>
        <v>1040</v>
      </c>
    </row>
    <row r="51" spans="1:7" x14ac:dyDescent="0.2">
      <c r="A51" s="20">
        <v>2058</v>
      </c>
      <c r="B51" s="18">
        <f t="shared" si="6"/>
        <v>520</v>
      </c>
      <c r="C51" s="13">
        <f t="shared" si="2"/>
        <v>520</v>
      </c>
      <c r="D51" s="13"/>
      <c r="E51" s="13"/>
      <c r="F51" s="13"/>
      <c r="G51" s="21">
        <f t="shared" si="5"/>
        <v>1040</v>
      </c>
    </row>
    <row r="52" spans="1:7" x14ac:dyDescent="0.2">
      <c r="A52" s="20">
        <v>2059</v>
      </c>
      <c r="B52" s="18">
        <f t="shared" si="6"/>
        <v>520</v>
      </c>
      <c r="C52" s="13">
        <f t="shared" si="2"/>
        <v>520</v>
      </c>
      <c r="D52" s="13"/>
      <c r="E52" s="13"/>
      <c r="F52" s="13"/>
      <c r="G52" s="21">
        <f t="shared" si="5"/>
        <v>1040</v>
      </c>
    </row>
    <row r="53" spans="1:7" x14ac:dyDescent="0.2">
      <c r="A53" s="20">
        <v>2060</v>
      </c>
      <c r="B53" s="18">
        <f t="shared" si="6"/>
        <v>520</v>
      </c>
      <c r="C53" s="13">
        <f t="shared" si="2"/>
        <v>520</v>
      </c>
      <c r="D53" s="13"/>
      <c r="E53" s="13"/>
      <c r="F53" s="13"/>
      <c r="G53" s="21">
        <f t="shared" si="5"/>
        <v>1040</v>
      </c>
    </row>
    <row r="54" spans="1:7" x14ac:dyDescent="0.2">
      <c r="A54" s="20">
        <v>2061</v>
      </c>
      <c r="B54" s="18">
        <f t="shared" si="6"/>
        <v>520</v>
      </c>
      <c r="C54" s="13">
        <f t="shared" si="2"/>
        <v>520</v>
      </c>
      <c r="D54" s="13"/>
      <c r="E54" s="13"/>
      <c r="F54" s="13"/>
      <c r="G54" s="21">
        <f t="shared" si="5"/>
        <v>1040</v>
      </c>
    </row>
    <row r="55" spans="1:7" x14ac:dyDescent="0.2">
      <c r="A55" s="20">
        <v>2062</v>
      </c>
      <c r="B55" s="18">
        <f t="shared" si="6"/>
        <v>520</v>
      </c>
      <c r="C55" s="13">
        <f t="shared" si="2"/>
        <v>520</v>
      </c>
      <c r="D55" s="13"/>
      <c r="E55" s="13"/>
      <c r="F55" s="13"/>
      <c r="G55" s="21">
        <f t="shared" si="5"/>
        <v>1040</v>
      </c>
    </row>
    <row r="56" spans="1:7" x14ac:dyDescent="0.2">
      <c r="A56" s="20">
        <v>2063</v>
      </c>
      <c r="B56" s="18">
        <f t="shared" si="6"/>
        <v>520</v>
      </c>
      <c r="C56" s="13"/>
      <c r="D56" s="13"/>
      <c r="E56" s="13"/>
      <c r="F56" s="13"/>
      <c r="G56" s="21">
        <f t="shared" si="5"/>
        <v>520</v>
      </c>
    </row>
    <row r="57" spans="1:7" x14ac:dyDescent="0.2">
      <c r="A57" s="20">
        <v>2064</v>
      </c>
      <c r="B57" s="18">
        <f t="shared" si="6"/>
        <v>520</v>
      </c>
      <c r="C57" s="13"/>
      <c r="D57" s="13"/>
      <c r="E57" s="13"/>
      <c r="F57" s="13"/>
      <c r="G57" s="21">
        <f t="shared" si="5"/>
        <v>520</v>
      </c>
    </row>
    <row r="58" spans="1:7" x14ac:dyDescent="0.2">
      <c r="A58" s="20">
        <v>2065</v>
      </c>
      <c r="B58" s="18">
        <f t="shared" si="6"/>
        <v>520</v>
      </c>
      <c r="C58" s="13"/>
      <c r="D58" s="13"/>
      <c r="E58" s="13"/>
      <c r="F58" s="13"/>
      <c r="G58" s="21">
        <f t="shared" si="5"/>
        <v>520</v>
      </c>
    </row>
    <row r="59" spans="1:7" x14ac:dyDescent="0.2">
      <c r="A59" s="20">
        <v>2066</v>
      </c>
      <c r="B59" s="18">
        <f t="shared" si="6"/>
        <v>520</v>
      </c>
      <c r="C59" s="13"/>
      <c r="D59" s="13"/>
      <c r="E59" s="13"/>
      <c r="F59" s="13"/>
      <c r="G59" s="21">
        <f t="shared" si="5"/>
        <v>520</v>
      </c>
    </row>
    <row r="60" spans="1:7" x14ac:dyDescent="0.2">
      <c r="A60" s="20">
        <v>2067</v>
      </c>
      <c r="B60" s="18">
        <f t="shared" si="6"/>
        <v>520</v>
      </c>
      <c r="C60" s="13"/>
      <c r="D60" s="13"/>
      <c r="E60" s="13"/>
      <c r="F60" s="13"/>
      <c r="G60" s="21">
        <f t="shared" si="5"/>
        <v>520</v>
      </c>
    </row>
    <row r="61" spans="1:7" x14ac:dyDescent="0.2">
      <c r="A61" s="20">
        <v>2068</v>
      </c>
      <c r="B61" s="18">
        <f t="shared" si="6"/>
        <v>520</v>
      </c>
      <c r="C61" s="13"/>
      <c r="D61" s="13"/>
      <c r="E61" s="13"/>
      <c r="F61" s="13"/>
      <c r="G61" s="21">
        <f t="shared" si="5"/>
        <v>520</v>
      </c>
    </row>
    <row r="62" spans="1:7" x14ac:dyDescent="0.2">
      <c r="A62" s="20">
        <v>2069</v>
      </c>
      <c r="B62" s="18">
        <f t="shared" si="6"/>
        <v>520</v>
      </c>
      <c r="C62" s="13"/>
      <c r="D62" s="13"/>
      <c r="E62" s="13"/>
      <c r="F62" s="13"/>
      <c r="G62" s="21">
        <f t="shared" si="5"/>
        <v>520</v>
      </c>
    </row>
    <row r="63" spans="1:7" x14ac:dyDescent="0.2">
      <c r="A63" s="20">
        <v>2070</v>
      </c>
      <c r="B63" s="18">
        <f t="shared" si="6"/>
        <v>520</v>
      </c>
      <c r="C63" s="13"/>
      <c r="D63" s="13"/>
      <c r="E63" s="13"/>
      <c r="F63" s="13"/>
      <c r="G63" s="21">
        <f t="shared" si="5"/>
        <v>520</v>
      </c>
    </row>
    <row r="64" spans="1:7" x14ac:dyDescent="0.2">
      <c r="A64" s="20">
        <v>2071</v>
      </c>
      <c r="B64" s="18">
        <f t="shared" si="6"/>
        <v>520</v>
      </c>
      <c r="C64" s="13"/>
      <c r="D64" s="13"/>
      <c r="E64" s="13"/>
      <c r="F64" s="13"/>
      <c r="G64" s="21">
        <f t="shared" si="5"/>
        <v>520</v>
      </c>
    </row>
    <row r="65" spans="1:7" x14ac:dyDescent="0.2">
      <c r="A65" s="20">
        <v>2072</v>
      </c>
      <c r="B65" s="18">
        <f t="shared" si="6"/>
        <v>520</v>
      </c>
      <c r="C65" s="13"/>
      <c r="D65" s="13"/>
      <c r="E65" s="13"/>
      <c r="F65" s="13"/>
      <c r="G65" s="21">
        <f t="shared" si="5"/>
        <v>520</v>
      </c>
    </row>
    <row r="66" spans="1:7" x14ac:dyDescent="0.2">
      <c r="A66" s="13" t="s">
        <v>14</v>
      </c>
      <c r="B66" s="13">
        <f ca="1">SUM(B16:B67)</f>
        <v>38687.999999999985</v>
      </c>
      <c r="C66" s="13">
        <f>SUM(C16:C65)</f>
        <v>20800</v>
      </c>
      <c r="D66" s="13">
        <f>SUM(D16:D40)</f>
        <v>20800</v>
      </c>
      <c r="E66" s="13">
        <f>SUM(E16:E30)</f>
        <v>20800</v>
      </c>
      <c r="F66" s="13"/>
      <c r="G66" s="13"/>
    </row>
  </sheetData>
  <pageMargins left="0.7" right="0.7" top="0.75" bottom="0.75" header="0.3" footer="0.3"/>
  <ignoredErrors>
    <ignoredError sqref="G16:G6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2531-EAAD-984C-806F-C550331EBF02}">
  <dimension ref="A1:K30"/>
  <sheetViews>
    <sheetView workbookViewId="0">
      <selection activeCell="J11" sqref="J11"/>
    </sheetView>
  </sheetViews>
  <sheetFormatPr baseColWidth="10" defaultRowHeight="16" x14ac:dyDescent="0.2"/>
  <cols>
    <col min="2" max="2" width="35.6640625" customWidth="1"/>
    <col min="4" max="4" width="12.83203125" customWidth="1"/>
    <col min="5" max="5" width="18.33203125" customWidth="1"/>
    <col min="7" max="7" width="34.33203125" customWidth="1"/>
    <col min="9" max="9" width="43.5" customWidth="1"/>
    <col min="10" max="10" width="17.1640625" customWidth="1"/>
    <col min="11" max="11" width="98.33203125" customWidth="1"/>
    <col min="14" max="14" width="38.1640625" customWidth="1"/>
    <col min="15" max="15" width="55.33203125" customWidth="1"/>
  </cols>
  <sheetData>
    <row r="1" spans="1:11" ht="31" customHeight="1" x14ac:dyDescent="0.2">
      <c r="A1" s="39"/>
      <c r="B1" s="39"/>
      <c r="C1" s="39"/>
      <c r="D1" s="38" t="s">
        <v>66</v>
      </c>
      <c r="E1" s="54" t="s">
        <v>26</v>
      </c>
      <c r="F1" s="54"/>
      <c r="G1" s="38" t="s">
        <v>68</v>
      </c>
      <c r="I1" s="38" t="s">
        <v>81</v>
      </c>
      <c r="J1" s="38"/>
    </row>
    <row r="2" spans="1:11" x14ac:dyDescent="0.2">
      <c r="A2" s="52" t="s">
        <v>60</v>
      </c>
      <c r="B2" s="25" t="s">
        <v>62</v>
      </c>
      <c r="C2" s="26" t="s">
        <v>63</v>
      </c>
      <c r="D2" s="26">
        <f>J2</f>
        <v>88400</v>
      </c>
      <c r="E2" s="26" t="s">
        <v>67</v>
      </c>
      <c r="F2" s="26">
        <f>J3</f>
        <v>-3258.666666666667</v>
      </c>
      <c r="G2" s="26">
        <f>D2+F2</f>
        <v>85141.333333333328</v>
      </c>
      <c r="I2" s="33" t="s">
        <v>58</v>
      </c>
      <c r="J2" s="34">
        <f>Amortissement!$B$3</f>
        <v>88400</v>
      </c>
    </row>
    <row r="3" spans="1:11" x14ac:dyDescent="0.2">
      <c r="A3" s="52"/>
      <c r="B3" s="25"/>
      <c r="C3" s="26"/>
      <c r="D3" s="26"/>
      <c r="E3" s="26"/>
      <c r="F3" s="26"/>
      <c r="G3" s="26"/>
      <c r="I3" s="33" t="s">
        <v>31</v>
      </c>
      <c r="J3" s="34">
        <f>-Amortissement!$F$12</f>
        <v>-3258.666666666667</v>
      </c>
    </row>
    <row r="4" spans="1:11" x14ac:dyDescent="0.2">
      <c r="A4" s="52"/>
      <c r="B4" s="25"/>
      <c r="C4" s="26"/>
      <c r="D4" s="26"/>
      <c r="E4" s="26"/>
      <c r="F4" s="26"/>
      <c r="G4" s="26"/>
      <c r="I4" s="33"/>
      <c r="J4" s="34"/>
    </row>
    <row r="5" spans="1:11" x14ac:dyDescent="0.2">
      <c r="A5" s="52"/>
      <c r="B5" s="25"/>
      <c r="C5" s="26"/>
      <c r="D5" s="26"/>
      <c r="E5" s="26"/>
      <c r="F5" s="26"/>
      <c r="G5" s="26"/>
      <c r="I5" s="33" t="s">
        <v>18</v>
      </c>
      <c r="J5" s="34">
        <f>Journal!C15</f>
        <v>6600</v>
      </c>
    </row>
    <row r="6" spans="1:11" x14ac:dyDescent="0.2">
      <c r="A6" s="52"/>
      <c r="B6" s="25" t="s">
        <v>64</v>
      </c>
      <c r="C6" s="26" t="s">
        <v>65</v>
      </c>
      <c r="D6" s="26">
        <f>J10</f>
        <v>4224</v>
      </c>
      <c r="E6" s="26"/>
      <c r="F6" s="26"/>
      <c r="G6" s="26"/>
      <c r="I6" s="33" t="s">
        <v>27</v>
      </c>
      <c r="J6" s="34">
        <f>Journal!C16+Journal!C17+Journal!C18+Journal!C19</f>
        <v>-640</v>
      </c>
    </row>
    <row r="7" spans="1:11" x14ac:dyDescent="0.2">
      <c r="A7" s="52"/>
      <c r="B7" s="25"/>
      <c r="C7" s="26"/>
      <c r="D7" s="26"/>
      <c r="E7" s="26"/>
      <c r="F7" s="26"/>
      <c r="G7" s="26"/>
      <c r="I7" s="33" t="s">
        <v>28</v>
      </c>
      <c r="J7" s="34">
        <f>Journal!C20+Journal!C21</f>
        <v>-868</v>
      </c>
    </row>
    <row r="8" spans="1:11" x14ac:dyDescent="0.2">
      <c r="A8" s="52"/>
      <c r="B8" s="25"/>
      <c r="C8" s="26"/>
      <c r="D8" s="26"/>
      <c r="E8" s="26"/>
      <c r="F8" s="26"/>
      <c r="G8" s="26"/>
      <c r="I8" s="33" t="s">
        <v>29</v>
      </c>
      <c r="J8" s="34">
        <f>Journal!C23+Journal!C24+Journal!C22</f>
        <v>-868</v>
      </c>
    </row>
    <row r="9" spans="1:11" x14ac:dyDescent="0.2">
      <c r="A9" s="52"/>
      <c r="B9" s="25"/>
      <c r="C9" s="26"/>
      <c r="D9" s="26"/>
      <c r="E9" s="26"/>
      <c r="F9" s="26"/>
      <c r="G9" s="26"/>
      <c r="I9" s="33"/>
      <c r="J9" s="34"/>
    </row>
    <row r="10" spans="1:11" x14ac:dyDescent="0.2">
      <c r="A10" s="52"/>
      <c r="B10" s="25" t="s">
        <v>14</v>
      </c>
      <c r="C10" s="26"/>
      <c r="D10" s="26">
        <f>D2+F2+D6</f>
        <v>89365.333333333328</v>
      </c>
      <c r="E10" s="26"/>
      <c r="F10" s="26"/>
      <c r="G10" s="26"/>
      <c r="I10" s="33" t="s">
        <v>59</v>
      </c>
      <c r="J10" s="34">
        <f>SUM(J5:J8)</f>
        <v>4224</v>
      </c>
    </row>
    <row r="11" spans="1:11" x14ac:dyDescent="0.2">
      <c r="A11" s="53" t="s">
        <v>61</v>
      </c>
      <c r="B11" s="28" t="s">
        <v>69</v>
      </c>
      <c r="C11" s="29" t="s">
        <v>85</v>
      </c>
      <c r="D11" s="29">
        <f>D10-D13-D15</f>
        <v>20505</v>
      </c>
      <c r="E11" s="29"/>
      <c r="F11" s="29"/>
      <c r="G11" s="29"/>
      <c r="I11" s="33" t="s">
        <v>75</v>
      </c>
      <c r="J11" s="34">
        <f>SUM(J3:J8)</f>
        <v>965.33333333333303</v>
      </c>
    </row>
    <row r="12" spans="1:11" x14ac:dyDescent="0.2">
      <c r="A12" s="53"/>
      <c r="B12" s="28"/>
      <c r="C12" s="29"/>
      <c r="D12" s="29"/>
      <c r="E12" s="29"/>
      <c r="F12" s="29"/>
      <c r="G12" s="29"/>
      <c r="I12" s="34"/>
      <c r="J12" s="34"/>
    </row>
    <row r="13" spans="1:11" x14ac:dyDescent="0.2">
      <c r="A13" s="53"/>
      <c r="B13" s="28" t="s">
        <v>70</v>
      </c>
      <c r="C13" s="29" t="s">
        <v>86</v>
      </c>
      <c r="D13" s="29">
        <f>J11</f>
        <v>965.33333333333303</v>
      </c>
      <c r="E13" s="29"/>
      <c r="F13" s="29"/>
      <c r="G13" s="29"/>
      <c r="I13" s="34"/>
      <c r="J13" s="34"/>
    </row>
    <row r="14" spans="1:11" x14ac:dyDescent="0.2">
      <c r="A14" s="53"/>
      <c r="B14" s="28"/>
      <c r="C14" s="29" t="s">
        <v>87</v>
      </c>
      <c r="D14" s="29"/>
      <c r="E14" s="29"/>
      <c r="F14" s="29"/>
      <c r="G14" s="29"/>
      <c r="I14" s="34"/>
      <c r="J14" s="34"/>
    </row>
    <row r="15" spans="1:11" x14ac:dyDescent="0.2">
      <c r="A15" s="53"/>
      <c r="B15" s="31" t="s">
        <v>71</v>
      </c>
      <c r="C15" s="32" t="s">
        <v>72</v>
      </c>
      <c r="D15" s="32">
        <v>67895</v>
      </c>
      <c r="E15" s="29"/>
      <c r="F15" s="29"/>
      <c r="G15" s="29"/>
      <c r="I15" s="36" t="s">
        <v>76</v>
      </c>
      <c r="J15" s="36">
        <f>MAX(0,J11)</f>
        <v>965.33333333333303</v>
      </c>
      <c r="K15" t="s">
        <v>77</v>
      </c>
    </row>
    <row r="16" spans="1:11" x14ac:dyDescent="0.2">
      <c r="A16" s="53"/>
      <c r="B16" s="28"/>
      <c r="C16" s="29"/>
      <c r="D16" s="29"/>
      <c r="E16" s="29"/>
      <c r="F16" s="29"/>
      <c r="G16" s="29"/>
      <c r="I16" s="36" t="s">
        <v>78</v>
      </c>
      <c r="J16" s="36">
        <f>SUM(J3:J8)</f>
        <v>965.33333333333303</v>
      </c>
    </row>
    <row r="17" spans="1:9" x14ac:dyDescent="0.2">
      <c r="A17" s="53"/>
      <c r="B17" s="28"/>
      <c r="C17" s="29"/>
      <c r="D17" s="29"/>
      <c r="E17" s="29"/>
      <c r="F17" s="29"/>
      <c r="G17" s="29"/>
    </row>
    <row r="18" spans="1:9" x14ac:dyDescent="0.2">
      <c r="A18" s="53"/>
      <c r="B18" s="28"/>
      <c r="C18" s="29"/>
      <c r="D18" s="29"/>
      <c r="E18" s="29"/>
      <c r="F18" s="29"/>
      <c r="G18" s="29"/>
    </row>
    <row r="19" spans="1:9" x14ac:dyDescent="0.2">
      <c r="A19" s="53"/>
      <c r="B19" s="28"/>
      <c r="C19" s="29"/>
      <c r="D19" s="29"/>
      <c r="E19" s="29"/>
      <c r="F19" s="29"/>
      <c r="G19" s="29"/>
    </row>
    <row r="20" spans="1:9" x14ac:dyDescent="0.2">
      <c r="A20" s="53"/>
      <c r="B20" s="28" t="s">
        <v>14</v>
      </c>
      <c r="C20" s="29"/>
      <c r="D20" s="29">
        <f>SUM(D11:D15)</f>
        <v>89365.333333333328</v>
      </c>
      <c r="E20" s="29"/>
      <c r="F20" s="29"/>
      <c r="G20" s="29"/>
    </row>
    <row r="30" spans="1:9" x14ac:dyDescent="0.2">
      <c r="I30" t="s">
        <v>33</v>
      </c>
    </row>
  </sheetData>
  <mergeCells count="3">
    <mergeCell ref="A2:A10"/>
    <mergeCell ref="A11:A20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F6DC-CEBC-AF40-894F-AED0FE113740}">
  <dimension ref="A1:K20"/>
  <sheetViews>
    <sheetView workbookViewId="0">
      <selection activeCell="G41" sqref="G41"/>
    </sheetView>
  </sheetViews>
  <sheetFormatPr baseColWidth="10" defaultRowHeight="16" x14ac:dyDescent="0.2"/>
  <cols>
    <col min="2" max="2" width="35.6640625" customWidth="1"/>
    <col min="4" max="4" width="12.83203125" customWidth="1"/>
    <col min="5" max="5" width="18.33203125" customWidth="1"/>
    <col min="7" max="7" width="34.33203125" customWidth="1"/>
    <col min="9" max="9" width="78.83203125" customWidth="1"/>
    <col min="10" max="10" width="17.1640625" customWidth="1"/>
    <col min="11" max="11" width="98.33203125" customWidth="1"/>
    <col min="14" max="14" width="38.1640625" customWidth="1"/>
    <col min="15" max="15" width="55.33203125" customWidth="1"/>
  </cols>
  <sheetData>
    <row r="1" spans="1:11" ht="33" customHeight="1" x14ac:dyDescent="0.2">
      <c r="A1" s="40"/>
      <c r="B1" s="40"/>
      <c r="C1" s="40"/>
      <c r="D1" s="41" t="s">
        <v>66</v>
      </c>
      <c r="E1" s="55" t="s">
        <v>26</v>
      </c>
      <c r="F1" s="55"/>
      <c r="G1" s="41" t="s">
        <v>83</v>
      </c>
      <c r="H1" s="42"/>
      <c r="I1" s="41" t="s">
        <v>81</v>
      </c>
      <c r="J1" s="40"/>
      <c r="K1" s="42"/>
    </row>
    <row r="2" spans="1:11" ht="18" customHeight="1" x14ac:dyDescent="0.2">
      <c r="A2" s="52" t="s">
        <v>60</v>
      </c>
      <c r="B2" s="25" t="s">
        <v>62</v>
      </c>
      <c r="C2" s="26" t="s">
        <v>63</v>
      </c>
      <c r="D2" s="27">
        <f>J2</f>
        <v>88400</v>
      </c>
      <c r="E2" s="26" t="s">
        <v>67</v>
      </c>
      <c r="F2" s="27">
        <f>J3+'Liasse fiscale N'!J3</f>
        <v>-6517.3333333333339</v>
      </c>
      <c r="G2" s="27">
        <f>D2+F2</f>
        <v>81882.666666666672</v>
      </c>
      <c r="I2" s="33" t="s">
        <v>79</v>
      </c>
      <c r="J2" s="34">
        <f>Amortissement!$B$3</f>
        <v>88400</v>
      </c>
    </row>
    <row r="3" spans="1:11" x14ac:dyDescent="0.2">
      <c r="A3" s="52"/>
      <c r="B3" s="25"/>
      <c r="C3" s="26"/>
      <c r="D3" s="26"/>
      <c r="E3" s="26"/>
      <c r="F3" s="26"/>
      <c r="G3" s="26"/>
      <c r="I3" s="33" t="s">
        <v>82</v>
      </c>
      <c r="J3" s="35">
        <f>-Amortissement!$F$12</f>
        <v>-3258.666666666667</v>
      </c>
    </row>
    <row r="4" spans="1:11" x14ac:dyDescent="0.2">
      <c r="A4" s="52"/>
      <c r="B4" s="25"/>
      <c r="C4" s="26"/>
      <c r="D4" s="26"/>
      <c r="E4" s="26"/>
      <c r="F4" s="26"/>
      <c r="G4" s="26"/>
      <c r="I4" s="33"/>
      <c r="J4" s="34"/>
    </row>
    <row r="5" spans="1:11" x14ac:dyDescent="0.2">
      <c r="A5" s="52"/>
      <c r="B5" s="25"/>
      <c r="C5" s="26"/>
      <c r="D5" s="26"/>
      <c r="E5" s="26"/>
      <c r="F5" s="26"/>
      <c r="G5" s="26"/>
      <c r="I5" s="33" t="s">
        <v>18</v>
      </c>
      <c r="J5" s="34">
        <f>Journal!C15</f>
        <v>6600</v>
      </c>
    </row>
    <row r="6" spans="1:11" x14ac:dyDescent="0.2">
      <c r="A6" s="52"/>
      <c r="B6" s="25" t="s">
        <v>64</v>
      </c>
      <c r="C6" s="26" t="s">
        <v>65</v>
      </c>
      <c r="D6" s="26">
        <f>J10</f>
        <v>8448</v>
      </c>
      <c r="E6" s="26"/>
      <c r="F6" s="26"/>
      <c r="G6" s="26"/>
      <c r="I6" s="33" t="s">
        <v>27</v>
      </c>
      <c r="J6" s="34">
        <f>Journal!C16+Journal!C17+Journal!C18+Journal!C19</f>
        <v>-640</v>
      </c>
    </row>
    <row r="7" spans="1:11" x14ac:dyDescent="0.2">
      <c r="A7" s="52"/>
      <c r="B7" s="25"/>
      <c r="C7" s="26"/>
      <c r="D7" s="26"/>
      <c r="E7" s="26"/>
      <c r="F7" s="26"/>
      <c r="G7" s="26"/>
      <c r="I7" s="33" t="s">
        <v>28</v>
      </c>
      <c r="J7" s="34">
        <f>Journal!C20+Journal!C21</f>
        <v>-868</v>
      </c>
    </row>
    <row r="8" spans="1:11" x14ac:dyDescent="0.2">
      <c r="A8" s="52"/>
      <c r="B8" s="25"/>
      <c r="C8" s="26"/>
      <c r="D8" s="26"/>
      <c r="E8" s="26"/>
      <c r="F8" s="26"/>
      <c r="G8" s="26"/>
      <c r="I8" s="33" t="s">
        <v>29</v>
      </c>
      <c r="J8" s="34">
        <f>Journal!C23+Journal!C24+Journal!C22</f>
        <v>-868</v>
      </c>
    </row>
    <row r="9" spans="1:11" x14ac:dyDescent="0.2">
      <c r="A9" s="52"/>
      <c r="B9" s="25"/>
      <c r="C9" s="26"/>
      <c r="D9" s="26"/>
      <c r="E9" s="26"/>
      <c r="F9" s="26"/>
      <c r="G9" s="26"/>
      <c r="I9" s="33" t="s">
        <v>84</v>
      </c>
      <c r="J9" s="35">
        <f>'Liasse fiscale N'!J16</f>
        <v>965.33333333333303</v>
      </c>
    </row>
    <row r="10" spans="1:11" x14ac:dyDescent="0.2">
      <c r="A10" s="52"/>
      <c r="B10" s="25" t="s">
        <v>14</v>
      </c>
      <c r="C10" s="26"/>
      <c r="D10" s="37">
        <f>D2+F2+D6</f>
        <v>90330.666666666672</v>
      </c>
      <c r="E10" s="26"/>
      <c r="F10" s="26"/>
      <c r="G10" s="26"/>
      <c r="I10" s="33" t="s">
        <v>59</v>
      </c>
      <c r="J10" s="34">
        <f>SUM(J5:J8)+'Liasse fiscale N'!J10</f>
        <v>8448</v>
      </c>
    </row>
    <row r="11" spans="1:11" x14ac:dyDescent="0.2">
      <c r="A11" s="53" t="s">
        <v>61</v>
      </c>
      <c r="B11" s="28" t="s">
        <v>69</v>
      </c>
      <c r="C11" s="29"/>
      <c r="D11" s="29">
        <f>D10-D13-D15</f>
        <v>20505</v>
      </c>
      <c r="E11" s="29"/>
      <c r="F11" s="29"/>
      <c r="G11" s="29"/>
      <c r="I11" s="33" t="s">
        <v>75</v>
      </c>
      <c r="J11" s="35">
        <f>SUM(J3:J9)</f>
        <v>1930.6666666666661</v>
      </c>
    </row>
    <row r="12" spans="1:11" x14ac:dyDescent="0.2">
      <c r="A12" s="53"/>
      <c r="B12" s="28"/>
      <c r="C12" s="29"/>
      <c r="D12" s="29"/>
      <c r="E12" s="29"/>
      <c r="F12" s="29"/>
      <c r="G12" s="29"/>
      <c r="I12" s="34"/>
      <c r="J12" s="34"/>
    </row>
    <row r="13" spans="1:11" x14ac:dyDescent="0.2">
      <c r="A13" s="53"/>
      <c r="B13" s="28" t="s">
        <v>70</v>
      </c>
      <c r="C13" s="29"/>
      <c r="D13" s="30">
        <f>J11</f>
        <v>1930.6666666666661</v>
      </c>
      <c r="E13" s="29"/>
      <c r="F13" s="29"/>
      <c r="G13" s="29"/>
      <c r="I13" s="34"/>
      <c r="J13" s="34"/>
    </row>
    <row r="14" spans="1:11" x14ac:dyDescent="0.2">
      <c r="A14" s="53"/>
      <c r="B14" s="28"/>
      <c r="C14" s="29"/>
      <c r="D14" s="29"/>
      <c r="E14" s="29"/>
      <c r="F14" s="29"/>
      <c r="G14" s="29"/>
      <c r="I14" s="33"/>
      <c r="J14" s="34"/>
    </row>
    <row r="15" spans="1:11" x14ac:dyDescent="0.2">
      <c r="A15" s="53"/>
      <c r="B15" s="31" t="s">
        <v>71</v>
      </c>
      <c r="C15" s="32" t="s">
        <v>72</v>
      </c>
      <c r="D15" s="32">
        <v>67895</v>
      </c>
      <c r="E15" s="29"/>
      <c r="F15" s="29"/>
      <c r="G15" s="29"/>
      <c r="I15" s="36" t="s">
        <v>76</v>
      </c>
      <c r="J15" s="36">
        <f>MAX(0,J11)</f>
        <v>1930.6666666666661</v>
      </c>
      <c r="K15" t="s">
        <v>80</v>
      </c>
    </row>
    <row r="16" spans="1:11" x14ac:dyDescent="0.2">
      <c r="A16" s="53"/>
      <c r="B16" s="28"/>
      <c r="C16" s="29"/>
      <c r="D16" s="29"/>
      <c r="E16" s="29"/>
      <c r="F16" s="29"/>
      <c r="G16" s="29"/>
      <c r="I16" s="36" t="s">
        <v>78</v>
      </c>
      <c r="J16" s="43">
        <f>MIN(0,SUM(J3:J9))</f>
        <v>0</v>
      </c>
    </row>
    <row r="17" spans="1:7" x14ac:dyDescent="0.2">
      <c r="A17" s="53"/>
      <c r="B17" s="28"/>
      <c r="C17" s="29"/>
      <c r="D17" s="29"/>
      <c r="E17" s="29"/>
      <c r="F17" s="29"/>
      <c r="G17" s="29"/>
    </row>
    <row r="18" spans="1:7" x14ac:dyDescent="0.2">
      <c r="A18" s="53"/>
      <c r="B18" s="28"/>
      <c r="C18" s="29"/>
      <c r="D18" s="29"/>
      <c r="E18" s="29"/>
      <c r="F18" s="29"/>
      <c r="G18" s="29"/>
    </row>
    <row r="19" spans="1:7" x14ac:dyDescent="0.2">
      <c r="A19" s="53"/>
      <c r="B19" s="28"/>
      <c r="C19" s="29"/>
      <c r="D19" s="29"/>
      <c r="E19" s="29"/>
      <c r="F19" s="29"/>
      <c r="G19" s="29"/>
    </row>
    <row r="20" spans="1:7" x14ac:dyDescent="0.2">
      <c r="A20" s="53"/>
      <c r="B20" s="28" t="s">
        <v>14</v>
      </c>
      <c r="C20" s="29"/>
      <c r="D20" s="37">
        <f>SUM(D11:D15)</f>
        <v>90330.666666666657</v>
      </c>
      <c r="E20" s="29"/>
      <c r="F20" s="29"/>
      <c r="G20" s="29"/>
    </row>
  </sheetData>
  <mergeCells count="3">
    <mergeCell ref="E1:F1"/>
    <mergeCell ref="A2:A10"/>
    <mergeCell ref="A11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Journal</vt:lpstr>
      <vt:lpstr>Amortissement</vt:lpstr>
      <vt:lpstr>Liasse fiscale N</vt:lpstr>
      <vt:lpstr>Liasse fiscale N+1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Thiebeaux</dc:creator>
  <cp:lastModifiedBy>Pierre Thiebeaux</cp:lastModifiedBy>
  <dcterms:created xsi:type="dcterms:W3CDTF">2023-05-30T19:32:37Z</dcterms:created>
  <dcterms:modified xsi:type="dcterms:W3CDTF">2023-06-27T06:49:47Z</dcterms:modified>
</cp:coreProperties>
</file>