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115" windowHeight="8520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30" i="1" l="1"/>
  <c r="C41" i="1"/>
  <c r="C40" i="1"/>
  <c r="C39" i="1"/>
  <c r="C38" i="1"/>
  <c r="C35" i="1"/>
  <c r="C34" i="1"/>
  <c r="C31" i="1"/>
  <c r="C29" i="1"/>
  <c r="C28" i="1"/>
  <c r="C27" i="1"/>
  <c r="C26" i="1"/>
  <c r="C32" i="1" s="1"/>
</calcChain>
</file>

<file path=xl/sharedStrings.xml><?xml version="1.0" encoding="utf-8"?>
<sst xmlns="http://schemas.openxmlformats.org/spreadsheetml/2006/main" count="34" uniqueCount="15">
  <si>
    <t>mur de coté</t>
  </si>
  <si>
    <t>sol</t>
  </si>
  <si>
    <t xml:space="preserve">toit </t>
  </si>
  <si>
    <t>mur du fond</t>
  </si>
  <si>
    <t>cm3</t>
  </si>
  <si>
    <t>:</t>
  </si>
  <si>
    <t>cm²</t>
  </si>
  <si>
    <t>m²</t>
  </si>
  <si>
    <t>€</t>
  </si>
  <si>
    <t>€/m²</t>
  </si>
  <si>
    <t>Pavé</t>
  </si>
  <si>
    <t>Prisme</t>
  </si>
  <si>
    <t>Volume total</t>
  </si>
  <si>
    <t>aire totale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</si>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</sst>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H41"/>
  <sheetViews>
    <sheetView tabSelected="1" topLeftCell="A25" workbookViewId="0">
      <selection activeCell="J42" sqref="J42"/>
    </sheetView>
  </sheetViews>
  <sheetFormatPr baseColWidth="10" defaultRowHeight="15" x14ac:dyDescent="0.25"/>
  <cols>
    <col min="4" max="4" width="5.140625" customWidth="1"/>
    <col min="5" max="5" width="1.7109375" customWidth="1"/>
    <col min="6" max="6" width="12.5703125" customWidth="1"/>
    <col min="8" max="8" width="7.5703125" customWidth="1"/>
  </cols>
  <sheetData>
    <row r="26" spans="1:6" x14ac:dyDescent="0.25">
      <c r="A26">
        <v>40</v>
      </c>
      <c r="C26">
        <f>A26*A28</f>
        <v>2400</v>
      </c>
      <c r="D26" t="s">
        <v>6</v>
      </c>
      <c r="E26" t="s">
        <v>5</v>
      </c>
      <c r="F26" t="s">
        <v>0</v>
      </c>
    </row>
    <row r="27" spans="1:6" x14ac:dyDescent="0.25">
      <c r="A27">
        <v>90</v>
      </c>
      <c r="C27">
        <f>A26*A28</f>
        <v>2400</v>
      </c>
      <c r="D27" t="s">
        <v>6</v>
      </c>
      <c r="E27" t="s">
        <v>5</v>
      </c>
      <c r="F27" t="s">
        <v>0</v>
      </c>
    </row>
    <row r="28" spans="1:6" x14ac:dyDescent="0.25">
      <c r="A28">
        <v>60</v>
      </c>
      <c r="C28">
        <f>A27*A26</f>
        <v>3600</v>
      </c>
      <c r="D28" t="s">
        <v>6</v>
      </c>
      <c r="E28" t="s">
        <v>5</v>
      </c>
      <c r="F28" t="s">
        <v>1</v>
      </c>
    </row>
    <row r="29" spans="1:6" x14ac:dyDescent="0.25">
      <c r="A29">
        <v>53</v>
      </c>
      <c r="C29">
        <f>A29*A26</f>
        <v>2120</v>
      </c>
      <c r="D29" t="s">
        <v>6</v>
      </c>
      <c r="E29" t="s">
        <v>5</v>
      </c>
      <c r="F29" t="s">
        <v>2</v>
      </c>
    </row>
    <row r="30" spans="1:6" x14ac:dyDescent="0.25">
      <c r="A30">
        <v>28</v>
      </c>
      <c r="C30">
        <f>A29*A26</f>
        <v>2120</v>
      </c>
      <c r="D30" t="s">
        <v>6</v>
      </c>
      <c r="E30" t="s">
        <v>5</v>
      </c>
      <c r="F30" t="s">
        <v>2</v>
      </c>
    </row>
    <row r="31" spans="1:6" x14ac:dyDescent="0.25">
      <c r="C31">
        <f>A30*A27/2 +A28*A27</f>
        <v>6660</v>
      </c>
      <c r="D31" t="s">
        <v>6</v>
      </c>
      <c r="E31" t="s">
        <v>5</v>
      </c>
      <c r="F31" t="s">
        <v>3</v>
      </c>
    </row>
    <row r="32" spans="1:6" x14ac:dyDescent="0.25">
      <c r="C32">
        <f>SUM(C26:C31)</f>
        <v>19300</v>
      </c>
      <c r="D32" t="s">
        <v>6</v>
      </c>
      <c r="E32" t="s">
        <v>5</v>
      </c>
      <c r="F32" t="s">
        <v>13</v>
      </c>
    </row>
    <row r="34" spans="3:8" x14ac:dyDescent="0.25">
      <c r="C34">
        <f>C32/10000</f>
        <v>1.93</v>
      </c>
      <c r="D34" t="s">
        <v>7</v>
      </c>
      <c r="G34">
        <v>28.9</v>
      </c>
      <c r="H34" t="s">
        <v>9</v>
      </c>
    </row>
    <row r="35" spans="3:8" x14ac:dyDescent="0.25">
      <c r="C35">
        <f>C34*G34</f>
        <v>55.776999999999994</v>
      </c>
      <c r="D35" t="s">
        <v>8</v>
      </c>
    </row>
    <row r="38" spans="3:8" x14ac:dyDescent="0.25">
      <c r="C38">
        <f>A26*A27*A28</f>
        <v>216000</v>
      </c>
      <c r="D38" t="s">
        <v>4</v>
      </c>
      <c r="E38" t="s">
        <v>5</v>
      </c>
      <c r="F38" t="s">
        <v>10</v>
      </c>
    </row>
    <row r="39" spans="3:8" x14ac:dyDescent="0.25">
      <c r="C39">
        <f>A30*A27/2*A26</f>
        <v>50400</v>
      </c>
      <c r="D39" t="s">
        <v>4</v>
      </c>
      <c r="E39" t="s">
        <v>5</v>
      </c>
      <c r="F39" t="s">
        <v>11</v>
      </c>
    </row>
    <row r="40" spans="3:8" x14ac:dyDescent="0.25">
      <c r="C40">
        <f>SUM(C38:C39)</f>
        <v>266400</v>
      </c>
      <c r="D40" t="s">
        <v>4</v>
      </c>
      <c r="E40" t="s">
        <v>5</v>
      </c>
      <c r="F40" t="s">
        <v>12</v>
      </c>
    </row>
    <row r="41" spans="3:8" x14ac:dyDescent="0.25">
      <c r="C41">
        <f>C40/1000</f>
        <v>266.39999999999998</v>
      </c>
      <c r="D4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dcterms:created xsi:type="dcterms:W3CDTF">2023-03-12T15:45:23Z</dcterms:created>
  <dcterms:modified xsi:type="dcterms:W3CDTF">2023-03-13T06:38:47Z</dcterms:modified>
</cp:coreProperties>
</file>