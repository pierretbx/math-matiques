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115" windowHeight="8520" activeTab="1"/>
  </bookViews>
  <sheets>
    <sheet name="Exercice 18" sheetId="1" r:id="rId1"/>
    <sheet name="Exercice 19" sheetId="3" r:id="rId2"/>
  </sheets>
  <calcPr calcId="145621"/>
</workbook>
</file>

<file path=xl/calcChain.xml><?xml version="1.0" encoding="utf-8"?>
<calcChain xmlns="http://schemas.openxmlformats.org/spreadsheetml/2006/main">
  <c r="B32" i="3" l="1"/>
  <c r="B30" i="3"/>
  <c r="V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W9" i="3"/>
  <c r="U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V8" i="3"/>
  <c r="W8" i="3"/>
  <c r="C8" i="3"/>
  <c r="D9" i="1"/>
  <c r="D8" i="1" s="1"/>
  <c r="D7" i="1" s="1"/>
  <c r="D6" i="1" s="1"/>
  <c r="D5" i="1" s="1"/>
</calcChain>
</file>

<file path=xl/sharedStrings.xml><?xml version="1.0" encoding="utf-8"?>
<sst xmlns="http://schemas.openxmlformats.org/spreadsheetml/2006/main" count="33" uniqueCount="31">
  <si>
    <t xml:space="preserve">Aliment </t>
  </si>
  <si>
    <t>Pourcentage</t>
  </si>
  <si>
    <t>Angles (en degré)</t>
  </si>
  <si>
    <t>Fruits forestiers</t>
  </si>
  <si>
    <t>Graminés</t>
  </si>
  <si>
    <t>Céréales</t>
  </si>
  <si>
    <t>Animaux</t>
  </si>
  <si>
    <t>Racines</t>
  </si>
  <si>
    <t>Total</t>
  </si>
  <si>
    <t>1.</t>
  </si>
  <si>
    <t>2.</t>
  </si>
  <si>
    <t xml:space="preserve">3. </t>
  </si>
  <si>
    <t>Le sanglier mange surtout des fruits forestiers (60% de son alimentation)</t>
  </si>
  <si>
    <t>4.</t>
  </si>
  <si>
    <t>18 + 11 = 29</t>
  </si>
  <si>
    <t>Les graminées et les céréales représentent 29% de l'alimentation du sanglier</t>
  </si>
  <si>
    <t>Exercice 18</t>
  </si>
  <si>
    <t>Statistiques</t>
  </si>
  <si>
    <t>Exercice 19</t>
  </si>
  <si>
    <t xml:space="preserve">1. </t>
  </si>
  <si>
    <t>Note BIOT</t>
  </si>
  <si>
    <t>Note BOUTROIS</t>
  </si>
  <si>
    <t>Note</t>
  </si>
  <si>
    <t>Eff BIOT</t>
  </si>
  <si>
    <t>Eff BOUTROIS</t>
  </si>
  <si>
    <t>La moyenne des notes de Madame BIOT a ce contrôle est de 10,5 sur 20</t>
  </si>
  <si>
    <t>La moyenne des note de Monsieur BOUTROIS est de 10,5 sur 20 à ce contrôle.</t>
  </si>
  <si>
    <t xml:space="preserve">En moyenne les élèves de Monsieur BOUTROIS et de Madame BIOT ont le même niveau. </t>
  </si>
  <si>
    <t>Cependant, si on regarde en détail les notes obtenus (Diagramme en batons), on remarque</t>
  </si>
  <si>
    <t xml:space="preserve">Que les éléves de Monsieur BOUTROIS on des notes plus homogéne tandis que ceux de </t>
  </si>
  <si>
    <t>Madame BIOT ont un niveau un peu plus hétérogène.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</si>
</sst>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Répartition alimentaire du sanglier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'Exercice 18'!$D$4</c:f>
              <c:strCache>
                <c:ptCount val="1"/>
                <c:pt idx="0">
                  <c:v>Angles (en degré)</c:v>
                </c:pt>
              </c:strCache>
            </c:strRef>
          </c:tx>
          <c:cat>
            <c:strRef>
              <c:f>'Exercice 18'!$B$5:$B$9</c:f>
              <c:strCache>
                <c:ptCount val="5"/>
                <c:pt idx="0">
                  <c:v>Fruits forestiers</c:v>
                </c:pt>
                <c:pt idx="1">
                  <c:v>Graminés</c:v>
                </c:pt>
                <c:pt idx="2">
                  <c:v>Céréales</c:v>
                </c:pt>
                <c:pt idx="3">
                  <c:v>Animaux</c:v>
                </c:pt>
                <c:pt idx="4">
                  <c:v>Racines</c:v>
                </c:pt>
              </c:strCache>
            </c:strRef>
          </c:cat>
          <c:val>
            <c:numRef>
              <c:f>'Exercice 18'!$D$5:$D$9</c:f>
              <c:numCache>
                <c:formatCode>General</c:formatCode>
                <c:ptCount val="5"/>
                <c:pt idx="0">
                  <c:v>216.00000000000006</c:v>
                </c:pt>
                <c:pt idx="1">
                  <c:v>64.800000000000011</c:v>
                </c:pt>
                <c:pt idx="2">
                  <c:v>39.6</c:v>
                </c:pt>
                <c:pt idx="3">
                  <c:v>14.4</c:v>
                </c:pt>
                <c:pt idx="4">
                  <c:v>25.2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556843711119025E-2"/>
          <c:y val="0.16563525624664802"/>
          <c:w val="0.94061312687672838"/>
          <c:h val="0.718384759561815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'Exercice 19'!$B$8</c:f>
              <c:strCache>
                <c:ptCount val="1"/>
                <c:pt idx="0">
                  <c:v>Eff BIOT</c:v>
                </c:pt>
              </c:strCache>
            </c:strRef>
          </c:tx>
          <c:invertIfNegative val="0"/>
          <c:cat>
            <c:numRef>
              <c:f>'Exercice 19'!$C$7:$W$7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'Exercice 19'!$C$8:$W$8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</c:ser>
        <c:ser>
          <c:idx val="2"/>
          <c:order val="1"/>
          <c:tx>
            <c:strRef>
              <c:f>'Exercice 19'!$B$9</c:f>
              <c:strCache>
                <c:ptCount val="1"/>
                <c:pt idx="0">
                  <c:v>Eff BOUTROIS</c:v>
                </c:pt>
              </c:strCache>
            </c:strRef>
          </c:tx>
          <c:invertIfNegative val="0"/>
          <c:cat>
            <c:numRef>
              <c:f>'Exercice 19'!$C$7:$W$7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'Exercice 19'!$C$9:$W$9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96288"/>
        <c:axId val="135241088"/>
      </c:barChart>
      <c:catAx>
        <c:axId val="419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241088"/>
        <c:crosses val="autoZero"/>
        <c:auto val="1"/>
        <c:lblAlgn val="ctr"/>
        <c:lblOffset val="100"/>
        <c:noMultiLvlLbl val="0"/>
      </c:catAx>
      <c:valAx>
        <c:axId val="135241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996288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4623235160931517"/>
          <c:y val="8.8754009915427267E-3"/>
          <c:w val="0.17444759153307277"/>
          <c:h val="0.1291060122757328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433388</xdr:colOff>
      <xdr:row>10</xdr:row>
      <xdr:rowOff>185737</xdr:rowOff>
    </xdr:from>
    <xdr:to>
      <xdr:col>5</xdr:col>
      <xdr:colOff>238126</xdr:colOff>
      <xdr:row>23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119062</xdr:rowOff>
    </xdr:from>
    <xdr:to>
      <xdr:col>24</xdr:col>
      <xdr:colOff>0</xdr:colOff>
      <xdr:row>28</xdr:row>
      <xdr:rowOff>57150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9"/>
  <sheetViews>
    <sheetView topLeftCell="A13" workbookViewId="0">
      <selection activeCell="A31" sqref="A31:B34"/>
    </sheetView>
  </sheetViews>
  <sheetFormatPr baseColWidth="10" defaultRowHeight="15" x14ac:dyDescent="0.25"/>
  <cols>
    <col min="1" max="1" width="3.85546875" customWidth="1"/>
    <col min="2" max="3" width="15" bestFit="1" customWidth="1"/>
    <col min="4" max="5" width="16.85546875" bestFit="1" customWidth="1"/>
    <col min="7" max="7" width="3.85546875" customWidth="1"/>
  </cols>
  <sheetData>
    <row r="2" spans="1:5" x14ac:dyDescent="0.25">
      <c r="B2" s="6" t="s">
        <v>16</v>
      </c>
      <c r="E2" t="s">
        <v>17</v>
      </c>
    </row>
    <row r="4" spans="1:5" x14ac:dyDescent="0.25">
      <c r="A4" t="s">
        <v>9</v>
      </c>
      <c r="B4" s="3" t="s">
        <v>0</v>
      </c>
      <c r="C4" s="3" t="s">
        <v>1</v>
      </c>
      <c r="D4" s="3" t="s">
        <v>2</v>
      </c>
    </row>
    <row r="5" spans="1:5" x14ac:dyDescent="0.25">
      <c r="B5" s="2" t="s">
        <v>3</v>
      </c>
      <c r="C5" s="1">
        <v>60</v>
      </c>
      <c r="D5" s="1">
        <f t="shared" ref="D5:D8" si="0">C5*D6/C6</f>
        <v>216.00000000000006</v>
      </c>
    </row>
    <row r="6" spans="1:5" x14ac:dyDescent="0.25">
      <c r="B6" s="2" t="s">
        <v>4</v>
      </c>
      <c r="C6" s="1">
        <v>18</v>
      </c>
      <c r="D6" s="1">
        <f t="shared" si="0"/>
        <v>64.800000000000011</v>
      </c>
    </row>
    <row r="7" spans="1:5" x14ac:dyDescent="0.25">
      <c r="B7" s="2" t="s">
        <v>5</v>
      </c>
      <c r="C7" s="1">
        <v>11</v>
      </c>
      <c r="D7" s="1">
        <f t="shared" si="0"/>
        <v>39.6</v>
      </c>
    </row>
    <row r="8" spans="1:5" x14ac:dyDescent="0.25">
      <c r="B8" s="2" t="s">
        <v>6</v>
      </c>
      <c r="C8" s="1">
        <v>4</v>
      </c>
      <c r="D8" s="1">
        <f t="shared" si="0"/>
        <v>14.4</v>
      </c>
    </row>
    <row r="9" spans="1:5" x14ac:dyDescent="0.25">
      <c r="B9" s="2" t="s">
        <v>7</v>
      </c>
      <c r="C9" s="1">
        <v>7</v>
      </c>
      <c r="D9" s="1">
        <f>C9*D10/C10</f>
        <v>25.2</v>
      </c>
    </row>
    <row r="10" spans="1:5" x14ac:dyDescent="0.25">
      <c r="B10" s="4" t="s">
        <v>8</v>
      </c>
      <c r="C10" s="5">
        <v>100</v>
      </c>
      <c r="D10" s="5">
        <v>360</v>
      </c>
    </row>
    <row r="12" spans="1:5" x14ac:dyDescent="0.25">
      <c r="A12" t="s">
        <v>10</v>
      </c>
    </row>
    <row r="26" spans="1:2" x14ac:dyDescent="0.25">
      <c r="A26" t="s">
        <v>11</v>
      </c>
      <c r="B26" t="s">
        <v>12</v>
      </c>
    </row>
    <row r="28" spans="1:2" x14ac:dyDescent="0.25">
      <c r="A28" t="s">
        <v>13</v>
      </c>
      <c r="B28" t="s">
        <v>14</v>
      </c>
    </row>
    <row r="29" spans="1:2" x14ac:dyDescent="0.25">
      <c r="B29" t="s">
        <v>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8"/>
  <sheetViews>
    <sheetView tabSelected="1" workbookViewId="0">
      <selection activeCell="B38" sqref="B38"/>
    </sheetView>
  </sheetViews>
  <sheetFormatPr baseColWidth="10" defaultRowHeight="15" x14ac:dyDescent="0.25"/>
  <cols>
    <col min="1" max="1" width="3.7109375" customWidth="1"/>
    <col min="2" max="2" width="14.5703125" customWidth="1"/>
    <col min="3" max="22" width="2.85546875" customWidth="1"/>
    <col min="23" max="23" width="3.7109375" customWidth="1"/>
    <col min="24" max="24" width="3.140625" customWidth="1"/>
    <col min="25" max="25" width="4" customWidth="1"/>
  </cols>
  <sheetData>
    <row r="2" spans="1:23" x14ac:dyDescent="0.25">
      <c r="B2" s="6" t="s">
        <v>18</v>
      </c>
    </row>
    <row r="4" spans="1:23" x14ac:dyDescent="0.25">
      <c r="A4" t="s">
        <v>19</v>
      </c>
      <c r="B4" s="7" t="s">
        <v>20</v>
      </c>
      <c r="C4" s="1">
        <v>7</v>
      </c>
      <c r="D4" s="1">
        <v>8</v>
      </c>
      <c r="E4" s="1">
        <v>12</v>
      </c>
      <c r="F4" s="1">
        <v>12</v>
      </c>
      <c r="G4" s="1">
        <v>18</v>
      </c>
      <c r="H4" s="1">
        <v>5</v>
      </c>
      <c r="I4" s="1">
        <v>11</v>
      </c>
      <c r="J4" s="1">
        <v>6</v>
      </c>
      <c r="K4" s="1">
        <v>3</v>
      </c>
      <c r="L4" s="1">
        <v>8</v>
      </c>
      <c r="M4" s="1">
        <v>5</v>
      </c>
      <c r="N4" s="1">
        <v>18</v>
      </c>
      <c r="O4" s="1">
        <v>9</v>
      </c>
      <c r="P4" s="1">
        <v>20</v>
      </c>
      <c r="Q4" s="1">
        <v>6</v>
      </c>
      <c r="R4" s="1">
        <v>16</v>
      </c>
      <c r="S4" s="1">
        <v>6</v>
      </c>
      <c r="T4" s="1">
        <v>18</v>
      </c>
      <c r="U4" s="1">
        <v>7</v>
      </c>
      <c r="V4" s="1">
        <v>15</v>
      </c>
    </row>
    <row r="5" spans="1:23" x14ac:dyDescent="0.25">
      <c r="B5" s="7" t="s">
        <v>21</v>
      </c>
      <c r="C5" s="1">
        <v>8</v>
      </c>
      <c r="D5" s="1">
        <v>8</v>
      </c>
      <c r="E5" s="1">
        <v>9</v>
      </c>
      <c r="F5" s="1">
        <v>12</v>
      </c>
      <c r="G5" s="1">
        <v>11</v>
      </c>
      <c r="H5" s="1">
        <v>8</v>
      </c>
      <c r="I5" s="1">
        <v>16</v>
      </c>
      <c r="J5" s="1">
        <v>15</v>
      </c>
      <c r="K5" s="1">
        <v>7</v>
      </c>
      <c r="L5" s="1">
        <v>6</v>
      </c>
      <c r="M5" s="1">
        <v>10</v>
      </c>
      <c r="N5" s="1">
        <v>10</v>
      </c>
      <c r="O5" s="1">
        <v>12</v>
      </c>
      <c r="P5" s="1">
        <v>8</v>
      </c>
      <c r="Q5" s="1">
        <v>10</v>
      </c>
      <c r="R5" s="1">
        <v>14</v>
      </c>
      <c r="S5" s="1">
        <v>12</v>
      </c>
      <c r="T5" s="1">
        <v>11</v>
      </c>
      <c r="U5" s="1">
        <v>14</v>
      </c>
      <c r="V5" s="1">
        <v>9</v>
      </c>
    </row>
    <row r="7" spans="1:23" x14ac:dyDescent="0.25">
      <c r="B7" s="7" t="s">
        <v>22</v>
      </c>
      <c r="C7" s="1">
        <v>0</v>
      </c>
      <c r="D7" s="1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1">
        <v>7</v>
      </c>
      <c r="K7" s="1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1">
        <v>14</v>
      </c>
      <c r="R7" s="1">
        <v>15</v>
      </c>
      <c r="S7" s="1">
        <v>16</v>
      </c>
      <c r="T7" s="1">
        <v>17</v>
      </c>
      <c r="U7" s="1">
        <v>18</v>
      </c>
      <c r="V7" s="1">
        <v>19</v>
      </c>
      <c r="W7" s="1">
        <v>20</v>
      </c>
    </row>
    <row r="8" spans="1:23" x14ac:dyDescent="0.25">
      <c r="B8" s="7" t="s">
        <v>23</v>
      </c>
      <c r="C8" s="1">
        <f>COUNTIF($C4:$V4,C$7)</f>
        <v>0</v>
      </c>
      <c r="D8" s="1">
        <f t="shared" ref="D8:W9" si="0">COUNTIF($C4:$V4,D$7)</f>
        <v>0</v>
      </c>
      <c r="E8" s="1">
        <f t="shared" si="0"/>
        <v>0</v>
      </c>
      <c r="F8" s="1">
        <f t="shared" si="0"/>
        <v>1</v>
      </c>
      <c r="G8" s="1">
        <f t="shared" si="0"/>
        <v>0</v>
      </c>
      <c r="H8" s="1">
        <f t="shared" si="0"/>
        <v>2</v>
      </c>
      <c r="I8" s="1">
        <f t="shared" si="0"/>
        <v>3</v>
      </c>
      <c r="J8" s="1">
        <f t="shared" si="0"/>
        <v>2</v>
      </c>
      <c r="K8" s="1">
        <f t="shared" si="0"/>
        <v>2</v>
      </c>
      <c r="L8" s="1">
        <f t="shared" si="0"/>
        <v>1</v>
      </c>
      <c r="M8" s="1">
        <f t="shared" si="0"/>
        <v>0</v>
      </c>
      <c r="N8" s="1">
        <f t="shared" si="0"/>
        <v>1</v>
      </c>
      <c r="O8" s="1">
        <f t="shared" si="0"/>
        <v>2</v>
      </c>
      <c r="P8" s="1">
        <f t="shared" si="0"/>
        <v>0</v>
      </c>
      <c r="Q8" s="1">
        <f t="shared" si="0"/>
        <v>0</v>
      </c>
      <c r="R8" s="1">
        <f t="shared" si="0"/>
        <v>1</v>
      </c>
      <c r="S8" s="1">
        <f t="shared" si="0"/>
        <v>1</v>
      </c>
      <c r="T8" s="1">
        <f t="shared" si="0"/>
        <v>0</v>
      </c>
      <c r="U8" s="1">
        <f>COUNTIF($C4:$V4,U$7)</f>
        <v>3</v>
      </c>
      <c r="V8" s="1">
        <f t="shared" si="0"/>
        <v>0</v>
      </c>
      <c r="W8" s="1">
        <f t="shared" si="0"/>
        <v>1</v>
      </c>
    </row>
    <row r="9" spans="1:23" x14ac:dyDescent="0.25">
      <c r="B9" s="7" t="s">
        <v>24</v>
      </c>
      <c r="C9" s="1">
        <f>COUNTIF($C5:$V5,C$7)</f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1</v>
      </c>
      <c r="J9" s="1">
        <f t="shared" si="0"/>
        <v>1</v>
      </c>
      <c r="K9" s="1">
        <f t="shared" si="0"/>
        <v>4</v>
      </c>
      <c r="L9" s="1">
        <f t="shared" si="0"/>
        <v>2</v>
      </c>
      <c r="M9" s="1">
        <f t="shared" si="0"/>
        <v>3</v>
      </c>
      <c r="N9" s="1">
        <f t="shared" si="0"/>
        <v>2</v>
      </c>
      <c r="O9" s="1">
        <f t="shared" si="0"/>
        <v>3</v>
      </c>
      <c r="P9" s="1">
        <f t="shared" si="0"/>
        <v>0</v>
      </c>
      <c r="Q9" s="1">
        <f t="shared" si="0"/>
        <v>2</v>
      </c>
      <c r="R9" s="1">
        <f t="shared" si="0"/>
        <v>1</v>
      </c>
      <c r="S9" s="1">
        <f t="shared" si="0"/>
        <v>1</v>
      </c>
      <c r="T9" s="1">
        <f t="shared" si="0"/>
        <v>0</v>
      </c>
      <c r="U9" s="1">
        <f>COUNTIF($C5:$V5,U$7)</f>
        <v>0</v>
      </c>
      <c r="V9" s="1">
        <f>COUNTIF($C5:$V5,V$7)</f>
        <v>0</v>
      </c>
      <c r="W9" s="1">
        <f t="shared" si="0"/>
        <v>0</v>
      </c>
    </row>
    <row r="30" spans="1:2" x14ac:dyDescent="0.25">
      <c r="A30" t="s">
        <v>10</v>
      </c>
      <c r="B30">
        <f>AVERAGE(C4:V4)</f>
        <v>10.5</v>
      </c>
    </row>
    <row r="31" spans="1:2" x14ac:dyDescent="0.25">
      <c r="B31" t="s">
        <v>25</v>
      </c>
    </row>
    <row r="32" spans="1:2" x14ac:dyDescent="0.25">
      <c r="B32">
        <f>AVERAGE(C5:V5)</f>
        <v>10.5</v>
      </c>
    </row>
    <row r="33" spans="1:2" x14ac:dyDescent="0.25">
      <c r="B33" t="s">
        <v>26</v>
      </c>
    </row>
    <row r="35" spans="1:2" x14ac:dyDescent="0.25">
      <c r="A35" t="s">
        <v>11</v>
      </c>
      <c r="B35" t="s">
        <v>27</v>
      </c>
    </row>
    <row r="36" spans="1:2" x14ac:dyDescent="0.25">
      <c r="B36" t="s">
        <v>28</v>
      </c>
    </row>
    <row r="37" spans="1:2" x14ac:dyDescent="0.25">
      <c r="B37" t="s">
        <v>29</v>
      </c>
    </row>
    <row r="38" spans="1:2" x14ac:dyDescent="0.25">
      <c r="B38" t="s">
        <v>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 18</vt:lpstr>
      <vt:lpstr>Exercice 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2023-05-20T06:49:50Z</cp:lastPrinted>
  <dcterms:created xsi:type="dcterms:W3CDTF">2023-05-20T06:43:14Z</dcterms:created>
  <dcterms:modified xsi:type="dcterms:W3CDTF">2023-05-20T07:04:17Z</dcterms:modified>
</cp:coreProperties>
</file>